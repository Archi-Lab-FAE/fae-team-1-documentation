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3" codeName="{83B8AF0C-AF01-CA8F-8D1D-96F9A44741E3}"/>
  <workbookPr filterPrivacy="1" codeName="DieseArbeitsmappe"/>
  <xr:revisionPtr revIDLastSave="0" documentId="13_ncr:1_{01008267-F31B-4B49-9DA7-B8CF1EE64D67}" xr6:coauthVersionLast="45" xr6:coauthVersionMax="45" xr10:uidLastSave="{00000000-0000-0000-0000-000000000000}"/>
  <bookViews>
    <workbookView xWindow="-20" yWindow="460" windowWidth="28800" windowHeight="15940" tabRatio="733" xr2:uid="{00000000-000D-0000-FFFF-FFFF00000000}"/>
  </bookViews>
  <sheets>
    <sheet name="Stakeholders" sheetId="1" r:id="rId1"/>
    <sheet name="Goals &amp; Risks" sheetId="4" r:id="rId2"/>
    <sheet name="Requirements" sheetId="10" r:id="rId3"/>
    <sheet name="Epics" sheetId="15" r:id="rId4"/>
    <sheet name="Who does what" sheetId="14" r:id="rId5"/>
    <sheet name="_Dimensions" sheetId="13" r:id="rId6"/>
    <sheet name="_Effects" sheetId="7" r:id="rId7"/>
    <sheet name="_Scenarios" sheetId="5" r:id="rId8"/>
    <sheet name="_Domains" sheetId="16" r:id="rId9"/>
    <sheet name="_Param" sheetId="6" r:id="rId10"/>
    <sheet name="_GRREQ" sheetId="12" r:id="rId11"/>
  </sheets>
  <functionGroups builtInGroupCount="19"/>
  <definedNames>
    <definedName name="_xlnm._FilterDatabase" localSheetId="1" hidden="1">'Goals &amp; Risks'!$A$1:$H$159</definedName>
    <definedName name="_xlnm._FilterDatabase" localSheetId="4" hidden="1">'Who does what'!$A$2:$G$13</definedName>
    <definedName name="Abbreviations">_Param!$A$3:$B$18</definedName>
    <definedName name="CompTypes">_Domains!$C$2:$C$12</definedName>
    <definedName name="CompTypes_and_Explanation">_Domains!$C$2:$D$7</definedName>
    <definedName name="Dimensions">_Dimensions!$B$2:$B$11</definedName>
    <definedName name="Dims_And_Explanation">_Dimensions!$B$2:$D$11</definedName>
    <definedName name="Domains">_Domains!$A$2:$A$6</definedName>
    <definedName name="GR_Affected_Stakeholders">'Goals &amp; Risks'!$E$2:$E$226</definedName>
    <definedName name="GR_All">'Goals &amp; Risks'!$A$2:$H$226</definedName>
    <definedName name="GR_Degrees">'Goals &amp; Risks'!$G$2:$G$226</definedName>
    <definedName name="GR_Dims_System_might_affect">'Goals &amp; Risks'!$F$2:$F$226</definedName>
    <definedName name="GR_IDs">'Goals &amp; Risks'!$A$2:$A$226</definedName>
    <definedName name="Realization_Explanation">_Param!$D$3:$G$13</definedName>
    <definedName name="Req_IDs">Requirements!$A$7:$A$194</definedName>
    <definedName name="Reqs_and_Explanation">Requirements!$A$7:$C$494</definedName>
    <definedName name="Scenarios">_Scenarios!$B$3:$B$17</definedName>
    <definedName name="Scens_And_Explanation">_Scenarios!$B$3:$C$17</definedName>
    <definedName name="Stakeholders">Stakeholders!$A$3:$A$13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38" i="15" l="1"/>
  <c r="A337" i="15"/>
  <c r="A336" i="15"/>
  <c r="A335" i="15"/>
  <c r="A334" i="15"/>
  <c r="A333" i="15"/>
  <c r="A332" i="15"/>
  <c r="A331" i="15"/>
  <c r="A330" i="15"/>
  <c r="A329" i="15"/>
  <c r="A328" i="15"/>
  <c r="A327" i="15"/>
  <c r="A326" i="15"/>
  <c r="A325" i="15"/>
  <c r="A324" i="15"/>
  <c r="A323" i="15"/>
  <c r="A322" i="15"/>
  <c r="A321" i="15"/>
  <c r="A320" i="15"/>
  <c r="A319" i="15"/>
  <c r="A318" i="15"/>
  <c r="A317" i="15"/>
  <c r="A316" i="15"/>
  <c r="A315" i="15"/>
  <c r="A314" i="15"/>
  <c r="A313" i="15"/>
  <c r="A312" i="15"/>
  <c r="A311" i="15"/>
  <c r="A310" i="15"/>
  <c r="A309" i="15"/>
  <c r="A308" i="15"/>
  <c r="A307" i="15"/>
  <c r="A306" i="15"/>
  <c r="A305" i="15"/>
  <c r="A304" i="15"/>
  <c r="A303" i="15"/>
  <c r="A302" i="15"/>
  <c r="A301" i="15"/>
  <c r="A300" i="15"/>
  <c r="A299" i="15"/>
  <c r="A298" i="15"/>
  <c r="A297" i="15"/>
  <c r="A296" i="15"/>
  <c r="A295" i="15"/>
  <c r="A294" i="15"/>
  <c r="A293" i="15"/>
  <c r="A292" i="15"/>
  <c r="A291" i="15"/>
  <c r="A290" i="15"/>
  <c r="A289" i="15"/>
  <c r="A288" i="15"/>
  <c r="A287" i="15"/>
  <c r="A286" i="15"/>
  <c r="A285" i="15"/>
  <c r="A284" i="15"/>
  <c r="A283" i="15"/>
  <c r="A282" i="15"/>
  <c r="A281" i="15"/>
  <c r="A280" i="15"/>
  <c r="A279" i="15"/>
  <c r="A278" i="15"/>
  <c r="A277" i="15"/>
  <c r="A276" i="15"/>
  <c r="A275" i="15"/>
  <c r="A274" i="15"/>
  <c r="A273" i="15"/>
  <c r="A272" i="15"/>
  <c r="A271" i="15"/>
  <c r="A270" i="15"/>
  <c r="A269" i="15"/>
  <c r="A268" i="15"/>
  <c r="A267" i="15"/>
  <c r="A266" i="15"/>
  <c r="A265" i="15"/>
  <c r="A264" i="15"/>
  <c r="A263" i="15"/>
  <c r="A262" i="15"/>
  <c r="A261" i="15"/>
  <c r="A260" i="15"/>
  <c r="A259" i="15"/>
  <c r="A258" i="15"/>
  <c r="A257" i="15"/>
  <c r="A256" i="15"/>
  <c r="A255" i="15"/>
  <c r="A254" i="15"/>
  <c r="A253" i="15"/>
  <c r="A252" i="15"/>
  <c r="A251" i="15"/>
  <c r="A250" i="15"/>
  <c r="A249" i="15"/>
  <c r="A248" i="15"/>
  <c r="A247" i="15"/>
  <c r="A246" i="15"/>
  <c r="A245" i="15"/>
  <c r="A244" i="15"/>
  <c r="A243" i="15"/>
  <c r="A242" i="15"/>
  <c r="A241" i="15"/>
  <c r="A240" i="15"/>
  <c r="A239" i="15"/>
  <c r="A238" i="15"/>
  <c r="A237" i="15"/>
  <c r="A236" i="15"/>
  <c r="A235" i="15"/>
  <c r="A234" i="15"/>
  <c r="A233" i="15"/>
  <c r="A232" i="15"/>
  <c r="A231" i="15"/>
  <c r="A230" i="15"/>
  <c r="A229" i="15"/>
  <c r="A228" i="15"/>
  <c r="A227" i="15"/>
  <c r="A226" i="15"/>
  <c r="A225" i="15"/>
  <c r="A224" i="15"/>
  <c r="A223" i="15"/>
  <c r="A222" i="15"/>
  <c r="A221" i="15"/>
  <c r="A220" i="15"/>
  <c r="A219" i="15"/>
  <c r="A218" i="15"/>
  <c r="A217" i="15"/>
  <c r="A216" i="15"/>
  <c r="A215" i="15"/>
  <c r="A214" i="15"/>
  <c r="A213" i="15"/>
  <c r="A212" i="15"/>
  <c r="A211" i="15"/>
  <c r="A210" i="15"/>
  <c r="A209" i="15"/>
  <c r="A208" i="15"/>
  <c r="A207" i="15"/>
  <c r="A206" i="15"/>
  <c r="A205" i="15"/>
  <c r="A204" i="15"/>
  <c r="A203" i="15"/>
  <c r="A202" i="15"/>
  <c r="A201" i="15"/>
  <c r="A200" i="15"/>
  <c r="A199" i="15"/>
  <c r="A198" i="15"/>
  <c r="A197" i="15"/>
  <c r="A196" i="15"/>
  <c r="A195" i="15"/>
  <c r="A194" i="15"/>
  <c r="A193" i="15"/>
  <c r="A192" i="15"/>
  <c r="A191" i="15"/>
  <c r="A190" i="15"/>
  <c r="A189" i="15"/>
  <c r="A188" i="15"/>
  <c r="A187" i="15"/>
  <c r="A186" i="15"/>
  <c r="A185" i="15"/>
  <c r="A184" i="15"/>
  <c r="A183" i="15"/>
  <c r="A182" i="15"/>
  <c r="A181" i="15"/>
  <c r="A180" i="15"/>
  <c r="A179" i="15"/>
  <c r="A178" i="15"/>
  <c r="A177" i="15"/>
  <c r="A176" i="15"/>
  <c r="A175" i="15"/>
  <c r="A174" i="15"/>
  <c r="A173" i="15"/>
  <c r="A172" i="15"/>
  <c r="A171" i="15"/>
  <c r="A170" i="15"/>
  <c r="A169" i="15"/>
  <c r="A168" i="15"/>
  <c r="A167" i="15"/>
  <c r="A166" i="15"/>
  <c r="A165" i="15"/>
  <c r="A164" i="15"/>
  <c r="A163" i="15"/>
  <c r="A162" i="15"/>
  <c r="A161" i="15"/>
  <c r="A160" i="15"/>
  <c r="A159" i="15"/>
  <c r="A158" i="15"/>
  <c r="A157" i="15"/>
  <c r="A156" i="15"/>
  <c r="A155" i="15"/>
  <c r="A154" i="15"/>
  <c r="A153" i="15"/>
  <c r="A152" i="15"/>
  <c r="A151" i="15"/>
  <c r="A150" i="15"/>
  <c r="A149" i="15"/>
  <c r="A148" i="15"/>
  <c r="A147" i="15"/>
  <c r="A146" i="15"/>
  <c r="A145" i="15"/>
  <c r="A144" i="15"/>
  <c r="A143" i="15"/>
  <c r="A142" i="15"/>
  <c r="A141" i="15"/>
  <c r="A140" i="15"/>
  <c r="A139" i="15"/>
  <c r="A138" i="15"/>
  <c r="A137" i="15"/>
  <c r="A136" i="15"/>
  <c r="A135" i="15"/>
  <c r="A134" i="15"/>
  <c r="A133" i="15"/>
  <c r="A132" i="15"/>
  <c r="A131" i="15"/>
  <c r="A130" i="15"/>
  <c r="A129" i="15"/>
  <c r="A128" i="15"/>
  <c r="A127" i="15"/>
  <c r="A126" i="15"/>
  <c r="A125" i="15"/>
  <c r="A124" i="15"/>
  <c r="A123" i="15"/>
  <c r="A122" i="15"/>
  <c r="A121" i="15"/>
  <c r="A120" i="15"/>
  <c r="A119" i="15"/>
  <c r="A118" i="15"/>
  <c r="A117" i="15"/>
  <c r="A116" i="15"/>
  <c r="A115" i="15"/>
  <c r="A114" i="15"/>
  <c r="A113" i="15"/>
  <c r="A112" i="15"/>
  <c r="A111" i="15"/>
  <c r="A110" i="15"/>
  <c r="A109" i="15"/>
  <c r="A108" i="15"/>
  <c r="A107" i="15"/>
  <c r="A106" i="15"/>
  <c r="A105" i="15"/>
  <c r="A104" i="15"/>
  <c r="A103" i="15"/>
  <c r="A102" i="15"/>
  <c r="A101" i="15"/>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1" i="15"/>
  <c r="A10" i="15"/>
  <c r="A9" i="15"/>
  <c r="A8" i="15"/>
  <c r="A7" i="15"/>
  <c r="A6" i="15"/>
  <c r="A5" i="15"/>
  <c r="A4" i="15"/>
  <c r="A3" i="15"/>
  <c r="A2" i="15"/>
  <c r="D2" i="14" l="1" a="1"/>
  <c r="D2" i="14" s="1"/>
  <c r="G2" i="14" l="1"/>
  <c r="F2" i="14"/>
  <c r="E2" i="14"/>
  <c r="C13" i="14"/>
  <c r="C12" i="14"/>
  <c r="C11" i="14"/>
  <c r="C10" i="14"/>
  <c r="C9" i="14"/>
  <c r="C8" i="14"/>
  <c r="C7" i="14"/>
  <c r="C6" i="14"/>
  <c r="C5" i="14"/>
  <c r="C4" i="14"/>
  <c r="C3" i="14"/>
  <c r="A13" i="14"/>
  <c r="B13" i="14" s="1"/>
  <c r="A12" i="14"/>
  <c r="B12" i="14" s="1"/>
  <c r="A11" i="14"/>
  <c r="B11" i="14" s="1"/>
  <c r="A10" i="14"/>
  <c r="B10" i="14" s="1"/>
  <c r="A9" i="14"/>
  <c r="B9" i="14" s="1"/>
  <c r="A8" i="14"/>
  <c r="B8" i="14" s="1"/>
  <c r="A7" i="14"/>
  <c r="B7" i="14" s="1"/>
  <c r="A6" i="14"/>
  <c r="B6" i="14" s="1"/>
  <c r="A5" i="14"/>
  <c r="B5" i="14" s="1"/>
  <c r="A4" i="14"/>
  <c r="B4" i="14" s="1"/>
  <c r="A3" i="14"/>
  <c r="B3" i="14" s="1"/>
  <c r="G14" i="14" l="1"/>
  <c r="D14" i="14"/>
  <c r="E14" i="14"/>
  <c r="F14" i="14"/>
  <c r="B14" i="14"/>
  <c r="E5" i="10"/>
  <c r="F5" i="10" s="1"/>
  <c r="G5" i="10" s="1"/>
  <c r="H5" i="10" s="1"/>
  <c r="I5" i="10" s="1"/>
  <c r="J5" i="10" s="1"/>
  <c r="K5" i="10" s="1"/>
  <c r="L5" i="10" s="1"/>
  <c r="M5" i="10" s="1"/>
  <c r="N5" i="10" s="1"/>
  <c r="O5" i="10" s="1"/>
  <c r="P5" i="10" s="1"/>
  <c r="Q5" i="10" s="1"/>
  <c r="R5" i="10" s="1"/>
  <c r="S5" i="10" s="1"/>
  <c r="T5" i="10" s="1"/>
  <c r="U5" i="10" s="1"/>
  <c r="V5" i="10" s="1"/>
  <c r="W5" i="10" s="1"/>
  <c r="X5" i="10" s="1"/>
  <c r="Y5" i="10" s="1"/>
  <c r="Z5" i="10" s="1"/>
  <c r="AA5" i="10" s="1"/>
  <c r="AB5" i="10" s="1"/>
  <c r="E11" i="13" l="1"/>
  <c r="E10" i="13"/>
  <c r="E9" i="13"/>
  <c r="E8" i="13"/>
  <c r="E7" i="13"/>
  <c r="E6" i="13"/>
  <c r="E5" i="13"/>
  <c r="E4" i="13"/>
  <c r="E3" i="13"/>
  <c r="E2" i="13"/>
  <c r="A29" i="4" l="1"/>
  <c r="B29" i="4" s="1"/>
  <c r="A28" i="4"/>
  <c r="B28" i="4" s="1"/>
  <c r="A27" i="4"/>
  <c r="B27" i="4" s="1"/>
  <c r="A39" i="4"/>
  <c r="B39" i="4" s="1"/>
  <c r="A38" i="4"/>
  <c r="B38" i="4" s="1"/>
  <c r="A37" i="4"/>
  <c r="B37" i="4" s="1"/>
  <c r="A40" i="4"/>
  <c r="B40" i="4" s="1"/>
  <c r="A33" i="4"/>
  <c r="B33" i="4" s="1"/>
  <c r="A34" i="4"/>
  <c r="B34" i="4" s="1"/>
  <c r="A32" i="4"/>
  <c r="B32" i="4" s="1"/>
  <c r="A31" i="4"/>
  <c r="B31" i="4" s="1"/>
  <c r="A30" i="4"/>
  <c r="B30" i="4" s="1"/>
  <c r="A25" i="4"/>
  <c r="B25" i="4" s="1"/>
  <c r="A26" i="4"/>
  <c r="B26" i="4" s="1"/>
  <c r="A24" i="4"/>
  <c r="B24" i="4" s="1"/>
  <c r="A23" i="4"/>
  <c r="B23" i="4" s="1"/>
  <c r="A22" i="4"/>
  <c r="B22" i="4" s="1"/>
  <c r="V6" i="1"/>
  <c r="U6" i="1"/>
  <c r="T6" i="1"/>
  <c r="S6" i="1"/>
  <c r="R6" i="1"/>
  <c r="Q6" i="1"/>
  <c r="P6" i="1"/>
  <c r="O6" i="1"/>
  <c r="N6" i="1"/>
  <c r="M6" i="1"/>
  <c r="L6" i="1"/>
  <c r="K6" i="1"/>
  <c r="J6" i="1"/>
  <c r="I6" i="1"/>
  <c r="H6" i="1"/>
  <c r="G6" i="1"/>
  <c r="F6" i="1"/>
  <c r="E6" i="1"/>
  <c r="D6" i="1"/>
  <c r="C6" i="1"/>
  <c r="V5" i="1"/>
  <c r="U5" i="1"/>
  <c r="T5" i="1"/>
  <c r="S5" i="1"/>
  <c r="R5" i="1"/>
  <c r="Q5" i="1"/>
  <c r="P5" i="1"/>
  <c r="O5" i="1"/>
  <c r="N5" i="1"/>
  <c r="M5" i="1"/>
  <c r="L5" i="1"/>
  <c r="K5" i="1"/>
  <c r="J5" i="1"/>
  <c r="I5" i="1"/>
  <c r="H5" i="1"/>
  <c r="G5" i="1"/>
  <c r="F5" i="1"/>
  <c r="E5" i="1"/>
  <c r="D5" i="1"/>
  <c r="C5" i="1"/>
  <c r="A47" i="4"/>
  <c r="B47" i="4" s="1"/>
  <c r="A36" i="4"/>
  <c r="B36" i="4" s="1"/>
  <c r="A21" i="4" l="1"/>
  <c r="B21" i="4" s="1"/>
  <c r="A20" i="4"/>
  <c r="B20" i="4" s="1"/>
  <c r="A11" i="4"/>
  <c r="B11" i="4" s="1"/>
  <c r="A16" i="4"/>
  <c r="B16" i="4" s="1"/>
  <c r="A15" i="4"/>
  <c r="B15" i="4" s="1"/>
  <c r="A10" i="4"/>
  <c r="B10" i="4" s="1"/>
  <c r="A9" i="4"/>
  <c r="B9" i="4" s="1"/>
  <c r="P13" i="1"/>
  <c r="O13" i="1"/>
  <c r="P12" i="1"/>
  <c r="O12" i="1"/>
  <c r="P11" i="1"/>
  <c r="O11" i="1"/>
  <c r="P10" i="1"/>
  <c r="O10" i="1"/>
  <c r="P9" i="1"/>
  <c r="O9" i="1"/>
  <c r="P8" i="1"/>
  <c r="O8" i="1"/>
  <c r="P7" i="1"/>
  <c r="O7" i="1"/>
  <c r="P4" i="1"/>
  <c r="O4" i="1"/>
  <c r="P3" i="1"/>
  <c r="O3" i="1"/>
  <c r="A4" i="4" l="1"/>
  <c r="B4" i="4" s="1"/>
  <c r="F13" i="6" l="1"/>
  <c r="F12" i="6"/>
  <c r="F11" i="6"/>
  <c r="F10" i="6"/>
  <c r="F9" i="6"/>
  <c r="F8" i="6"/>
  <c r="F7" i="6"/>
  <c r="F6" i="6"/>
  <c r="F5" i="6"/>
  <c r="F4" i="6"/>
  <c r="F3" i="6" l="1"/>
  <c r="A9" i="10" l="1"/>
  <c r="A8" i="10"/>
  <c r="A7" i="10"/>
  <c r="C2" i="15" s="1"/>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50" i="10"/>
  <c r="A49" i="10"/>
  <c r="A48" i="10"/>
  <c r="A47" i="10"/>
  <c r="A46" i="10"/>
  <c r="A45" i="10"/>
  <c r="A44" i="10"/>
  <c r="A43" i="10"/>
  <c r="A42" i="10"/>
  <c r="A41" i="10"/>
  <c r="A40" i="10"/>
  <c r="A39" i="10"/>
  <c r="A38" i="10"/>
  <c r="A37" i="10"/>
  <c r="A36" i="10"/>
  <c r="A35" i="10"/>
  <c r="A34" i="10"/>
  <c r="A33" i="10"/>
  <c r="A32" i="10"/>
  <c r="A31" i="10"/>
  <c r="A30" i="10"/>
  <c r="A29" i="10"/>
  <c r="A28" i="10"/>
  <c r="A27" i="10"/>
  <c r="A26" i="10"/>
  <c r="A25" i="10"/>
  <c r="A24" i="10"/>
  <c r="A23" i="10"/>
  <c r="A22" i="10"/>
  <c r="A21" i="10"/>
  <c r="A20" i="10"/>
  <c r="A167" i="10"/>
  <c r="A166" i="10"/>
  <c r="A165" i="10"/>
  <c r="A164" i="10"/>
  <c r="A163" i="10"/>
  <c r="A162" i="10"/>
  <c r="A161" i="10"/>
  <c r="A160" i="10"/>
  <c r="A159" i="10"/>
  <c r="A158" i="10"/>
  <c r="A157" i="10"/>
  <c r="A156" i="10"/>
  <c r="A155" i="10"/>
  <c r="A154" i="10"/>
  <c r="A153" i="10"/>
  <c r="A152" i="10"/>
  <c r="A151" i="10"/>
  <c r="A150" i="10"/>
  <c r="A149" i="10"/>
  <c r="A148" i="10"/>
  <c r="A147" i="10"/>
  <c r="A146" i="10"/>
  <c r="A145" i="10"/>
  <c r="A144" i="10"/>
  <c r="A143" i="10"/>
  <c r="A142" i="10"/>
  <c r="A141" i="10"/>
  <c r="A140" i="10"/>
  <c r="A139" i="10"/>
  <c r="A138" i="10"/>
  <c r="A137" i="10"/>
  <c r="A136" i="10"/>
  <c r="A135" i="10"/>
  <c r="A134" i="10"/>
  <c r="A133" i="10"/>
  <c r="A132" i="10"/>
  <c r="A131" i="10"/>
  <c r="A130" i="10"/>
  <c r="A129" i="10"/>
  <c r="A128" i="10"/>
  <c r="A127" i="10"/>
  <c r="A126" i="10"/>
  <c r="A125" i="10"/>
  <c r="A124" i="10"/>
  <c r="A123" i="10"/>
  <c r="A122" i="10"/>
  <c r="A121" i="10"/>
  <c r="A120" i="10"/>
  <c r="A119" i="10"/>
  <c r="A118" i="10"/>
  <c r="A117" i="10"/>
  <c r="A116" i="10"/>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C7" i="15" l="1"/>
  <c r="C18" i="15"/>
  <c r="C14" i="15"/>
  <c r="C10" i="15"/>
  <c r="C6" i="15"/>
  <c r="C21" i="15"/>
  <c r="C17" i="15"/>
  <c r="C13" i="15"/>
  <c r="C9" i="15"/>
  <c r="C5" i="15"/>
  <c r="C20" i="15"/>
  <c r="C16" i="15"/>
  <c r="C12" i="15"/>
  <c r="C8" i="15"/>
  <c r="C4" i="15"/>
  <c r="C19" i="15"/>
  <c r="C15" i="15"/>
  <c r="C11" i="15"/>
  <c r="C281" i="15"/>
  <c r="C277" i="15"/>
  <c r="C273" i="15"/>
  <c r="C269" i="15"/>
  <c r="C265" i="15"/>
  <c r="C261" i="15"/>
  <c r="C257" i="15"/>
  <c r="C253" i="15"/>
  <c r="C249" i="15"/>
  <c r="C245" i="15"/>
  <c r="C241" i="15"/>
  <c r="C237" i="15"/>
  <c r="C280" i="15"/>
  <c r="C279" i="15"/>
  <c r="C275" i="15"/>
  <c r="C271" i="15"/>
  <c r="C267" i="15"/>
  <c r="C263" i="15"/>
  <c r="C259" i="15"/>
  <c r="C255" i="15"/>
  <c r="C251" i="15"/>
  <c r="C247" i="15"/>
  <c r="C243" i="15"/>
  <c r="C239" i="15"/>
  <c r="C235" i="15"/>
  <c r="C231" i="15"/>
  <c r="C227" i="15"/>
  <c r="C223" i="15"/>
  <c r="C219" i="15"/>
  <c r="C215" i="15"/>
  <c r="C211" i="15"/>
  <c r="C207" i="15"/>
  <c r="C203" i="15"/>
  <c r="C199" i="15"/>
  <c r="C195" i="15"/>
  <c r="C191" i="15"/>
  <c r="C187" i="15"/>
  <c r="C183" i="15"/>
  <c r="C179" i="15"/>
  <c r="C175" i="15"/>
  <c r="C171" i="15"/>
  <c r="C167" i="15"/>
  <c r="C163" i="15"/>
  <c r="C159" i="15"/>
  <c r="C155" i="15"/>
  <c r="C151" i="15"/>
  <c r="C147" i="15"/>
  <c r="C143" i="15"/>
  <c r="C139" i="15"/>
  <c r="C135" i="15"/>
  <c r="C131" i="15"/>
  <c r="C127" i="15"/>
  <c r="C123" i="15"/>
  <c r="C119" i="15"/>
  <c r="C115" i="15"/>
  <c r="C111" i="15"/>
  <c r="C107" i="15"/>
  <c r="C103" i="15"/>
  <c r="C99" i="15"/>
  <c r="C95" i="15"/>
  <c r="C91" i="15"/>
  <c r="C87" i="15"/>
  <c r="C83" i="15"/>
  <c r="C79" i="15"/>
  <c r="C75" i="15"/>
  <c r="C71" i="15"/>
  <c r="C67" i="15"/>
  <c r="C63" i="15"/>
  <c r="C59" i="15"/>
  <c r="C55" i="15"/>
  <c r="C51" i="15"/>
  <c r="C47" i="15"/>
  <c r="C43" i="15"/>
  <c r="C39" i="15"/>
  <c r="C35" i="15"/>
  <c r="C31" i="15"/>
  <c r="C27" i="15"/>
  <c r="C23" i="15"/>
  <c r="C278" i="15"/>
  <c r="C274" i="15"/>
  <c r="C270" i="15"/>
  <c r="C266" i="15"/>
  <c r="C262" i="15"/>
  <c r="C258" i="15"/>
  <c r="C254" i="15"/>
  <c r="C250" i="15"/>
  <c r="C246" i="15"/>
  <c r="C242" i="15"/>
  <c r="C238" i="15"/>
  <c r="C234" i="15"/>
  <c r="C230" i="15"/>
  <c r="C226" i="15"/>
  <c r="C222" i="15"/>
  <c r="C218" i="15"/>
  <c r="C214" i="15"/>
  <c r="C210" i="15"/>
  <c r="C206" i="15"/>
  <c r="C202" i="15"/>
  <c r="C276" i="15"/>
  <c r="C260" i="15"/>
  <c r="C244" i="15"/>
  <c r="C232" i="15"/>
  <c r="C224" i="15"/>
  <c r="C216" i="15"/>
  <c r="C208" i="15"/>
  <c r="C200" i="15"/>
  <c r="C194" i="15"/>
  <c r="C189" i="15"/>
  <c r="C184" i="15"/>
  <c r="C178" i="15"/>
  <c r="C173" i="15"/>
  <c r="C168" i="15"/>
  <c r="C162" i="15"/>
  <c r="C157" i="15"/>
  <c r="C152" i="15"/>
  <c r="C146" i="15"/>
  <c r="C141" i="15"/>
  <c r="C136" i="15"/>
  <c r="C130" i="15"/>
  <c r="C125" i="15"/>
  <c r="C120" i="15"/>
  <c r="C114" i="15"/>
  <c r="C109" i="15"/>
  <c r="C104" i="15"/>
  <c r="C98" i="15"/>
  <c r="C93" i="15"/>
  <c r="C88" i="15"/>
  <c r="C82" i="15"/>
  <c r="C77" i="15"/>
  <c r="C72" i="15"/>
  <c r="C66" i="15"/>
  <c r="C61" i="15"/>
  <c r="C56" i="15"/>
  <c r="C50" i="15"/>
  <c r="C45" i="15"/>
  <c r="C40" i="15"/>
  <c r="C34" i="15"/>
  <c r="C29" i="15"/>
  <c r="C24" i="15"/>
  <c r="C272" i="15"/>
  <c r="C256" i="15"/>
  <c r="C240" i="15"/>
  <c r="C229" i="15"/>
  <c r="C221" i="15"/>
  <c r="C213" i="15"/>
  <c r="C205" i="15"/>
  <c r="C198" i="15"/>
  <c r="C193" i="15"/>
  <c r="C188" i="15"/>
  <c r="C182" i="15"/>
  <c r="C177" i="15"/>
  <c r="C172" i="15"/>
  <c r="C166" i="15"/>
  <c r="C161" i="15"/>
  <c r="C156" i="15"/>
  <c r="C150" i="15"/>
  <c r="C145" i="15"/>
  <c r="C140" i="15"/>
  <c r="C134" i="15"/>
  <c r="C129" i="15"/>
  <c r="C124" i="15"/>
  <c r="C118" i="15"/>
  <c r="C113" i="15"/>
  <c r="C108" i="15"/>
  <c r="C102" i="15"/>
  <c r="C97" i="15"/>
  <c r="C92" i="15"/>
  <c r="C86" i="15"/>
  <c r="C81" i="15"/>
  <c r="C76" i="15"/>
  <c r="C70" i="15"/>
  <c r="C65" i="15"/>
  <c r="C60" i="15"/>
  <c r="C54" i="15"/>
  <c r="C49" i="15"/>
  <c r="C44" i="15"/>
  <c r="C38" i="15"/>
  <c r="C33" i="15"/>
  <c r="C28" i="15"/>
  <c r="C22" i="15"/>
  <c r="C268" i="15"/>
  <c r="C252" i="15"/>
  <c r="C236" i="15"/>
  <c r="C264" i="15"/>
  <c r="C225" i="15"/>
  <c r="C209" i="15"/>
  <c r="C196" i="15"/>
  <c r="C185" i="15"/>
  <c r="C174" i="15"/>
  <c r="C164" i="15"/>
  <c r="C153" i="15"/>
  <c r="C142" i="15"/>
  <c r="C132" i="15"/>
  <c r="C121" i="15"/>
  <c r="C110" i="15"/>
  <c r="C100" i="15"/>
  <c r="C89" i="15"/>
  <c r="C78" i="15"/>
  <c r="C68" i="15"/>
  <c r="C57" i="15"/>
  <c r="C46" i="15"/>
  <c r="C36" i="15"/>
  <c r="C25" i="15"/>
  <c r="C233" i="15"/>
  <c r="C217" i="15"/>
  <c r="C201" i="15"/>
  <c r="C190" i="15"/>
  <c r="C169" i="15"/>
  <c r="C148" i="15"/>
  <c r="C126" i="15"/>
  <c r="C105" i="15"/>
  <c r="C84" i="15"/>
  <c r="C62" i="15"/>
  <c r="C41" i="15"/>
  <c r="C228" i="15"/>
  <c r="C212" i="15"/>
  <c r="C197" i="15"/>
  <c r="C186" i="15"/>
  <c r="C176" i="15"/>
  <c r="C165" i="15"/>
  <c r="C154" i="15"/>
  <c r="C144" i="15"/>
  <c r="C122" i="15"/>
  <c r="C101" i="15"/>
  <c r="C80" i="15"/>
  <c r="C58" i="15"/>
  <c r="C37" i="15"/>
  <c r="C248" i="15"/>
  <c r="C220" i="15"/>
  <c r="C204" i="15"/>
  <c r="C192" i="15"/>
  <c r="C181" i="15"/>
  <c r="C170" i="15"/>
  <c r="C160" i="15"/>
  <c r="C149" i="15"/>
  <c r="C138" i="15"/>
  <c r="C128" i="15"/>
  <c r="C117" i="15"/>
  <c r="C106" i="15"/>
  <c r="C96" i="15"/>
  <c r="C85" i="15"/>
  <c r="C74" i="15"/>
  <c r="C64" i="15"/>
  <c r="C53" i="15"/>
  <c r="C42" i="15"/>
  <c r="C32" i="15"/>
  <c r="C3" i="15"/>
  <c r="C180" i="15"/>
  <c r="C158" i="15"/>
  <c r="C137" i="15"/>
  <c r="C116" i="15"/>
  <c r="C94" i="15"/>
  <c r="C73" i="15"/>
  <c r="C52" i="15"/>
  <c r="C30" i="15"/>
  <c r="C133" i="15"/>
  <c r="C112" i="15"/>
  <c r="C90" i="15"/>
  <c r="C69" i="15"/>
  <c r="C48" i="15"/>
  <c r="C26" i="15"/>
  <c r="A53" i="4"/>
  <c r="B53" i="4" s="1"/>
  <c r="V13" i="1"/>
  <c r="U13" i="1"/>
  <c r="T13" i="1"/>
  <c r="S13" i="1"/>
  <c r="R13" i="1"/>
  <c r="Q13" i="1"/>
  <c r="N13" i="1"/>
  <c r="M13" i="1"/>
  <c r="L13" i="1"/>
  <c r="K13" i="1"/>
  <c r="J13" i="1"/>
  <c r="I13" i="1"/>
  <c r="H13" i="1"/>
  <c r="G13" i="1"/>
  <c r="F13" i="1"/>
  <c r="E13" i="1"/>
  <c r="D13" i="1"/>
  <c r="C13" i="1"/>
  <c r="V12" i="1"/>
  <c r="U12" i="1"/>
  <c r="T12" i="1"/>
  <c r="S12" i="1"/>
  <c r="R12" i="1"/>
  <c r="Q12" i="1"/>
  <c r="N12" i="1"/>
  <c r="M12" i="1"/>
  <c r="L12" i="1"/>
  <c r="K12" i="1"/>
  <c r="J12" i="1"/>
  <c r="I12" i="1"/>
  <c r="H12" i="1"/>
  <c r="G12" i="1"/>
  <c r="F12" i="1"/>
  <c r="E12" i="1"/>
  <c r="D12" i="1"/>
  <c r="C12" i="1"/>
  <c r="V11" i="1"/>
  <c r="U11" i="1"/>
  <c r="T11" i="1"/>
  <c r="S11" i="1"/>
  <c r="R11" i="1"/>
  <c r="Q11" i="1"/>
  <c r="N11" i="1"/>
  <c r="M11" i="1"/>
  <c r="L11" i="1"/>
  <c r="K11" i="1"/>
  <c r="J11" i="1"/>
  <c r="I11" i="1"/>
  <c r="H11" i="1"/>
  <c r="G11" i="1"/>
  <c r="F11" i="1"/>
  <c r="E11" i="1"/>
  <c r="D11" i="1"/>
  <c r="C11" i="1"/>
  <c r="V10" i="1"/>
  <c r="U10" i="1"/>
  <c r="T10" i="1"/>
  <c r="S10" i="1"/>
  <c r="R10" i="1"/>
  <c r="Q10" i="1"/>
  <c r="N10" i="1"/>
  <c r="M10" i="1"/>
  <c r="L10" i="1"/>
  <c r="K10" i="1"/>
  <c r="J10" i="1"/>
  <c r="I10" i="1"/>
  <c r="H10" i="1"/>
  <c r="G10" i="1"/>
  <c r="F10" i="1"/>
  <c r="E10" i="1"/>
  <c r="D10" i="1"/>
  <c r="C10" i="1"/>
  <c r="V9" i="1"/>
  <c r="U9" i="1"/>
  <c r="T9" i="1"/>
  <c r="S9" i="1"/>
  <c r="R9" i="1"/>
  <c r="Q9" i="1"/>
  <c r="N9" i="1"/>
  <c r="M9" i="1"/>
  <c r="L9" i="1"/>
  <c r="K9" i="1"/>
  <c r="J9" i="1"/>
  <c r="I9" i="1"/>
  <c r="H9" i="1"/>
  <c r="G9" i="1"/>
  <c r="F9" i="1"/>
  <c r="E9" i="1"/>
  <c r="D9" i="1"/>
  <c r="C9" i="1"/>
  <c r="V8" i="1"/>
  <c r="U8" i="1"/>
  <c r="T8" i="1"/>
  <c r="S8" i="1"/>
  <c r="R8" i="1"/>
  <c r="Q8" i="1"/>
  <c r="N8" i="1"/>
  <c r="M8" i="1"/>
  <c r="L8" i="1"/>
  <c r="K8" i="1"/>
  <c r="J8" i="1"/>
  <c r="I8" i="1"/>
  <c r="H8" i="1"/>
  <c r="G8" i="1"/>
  <c r="F8" i="1"/>
  <c r="E8" i="1"/>
  <c r="D8" i="1"/>
  <c r="C8" i="1"/>
  <c r="V7" i="1"/>
  <c r="U7" i="1"/>
  <c r="T7" i="1"/>
  <c r="S7" i="1"/>
  <c r="R7" i="1"/>
  <c r="Q7" i="1"/>
  <c r="N7" i="1"/>
  <c r="M7" i="1"/>
  <c r="L7" i="1"/>
  <c r="K7" i="1"/>
  <c r="J7" i="1"/>
  <c r="I7" i="1"/>
  <c r="H7" i="1"/>
  <c r="G7" i="1"/>
  <c r="F7" i="1"/>
  <c r="E7" i="1"/>
  <c r="D7" i="1"/>
  <c r="C7" i="1"/>
  <c r="V4" i="1"/>
  <c r="U4" i="1"/>
  <c r="T4" i="1"/>
  <c r="S4" i="1"/>
  <c r="R4" i="1"/>
  <c r="Q4" i="1"/>
  <c r="N4" i="1"/>
  <c r="M4" i="1"/>
  <c r="L4" i="1"/>
  <c r="K4" i="1"/>
  <c r="J4" i="1"/>
  <c r="I4" i="1"/>
  <c r="H4" i="1"/>
  <c r="G4" i="1"/>
  <c r="F4" i="1"/>
  <c r="E4" i="1"/>
  <c r="D4" i="1"/>
  <c r="C4" i="1"/>
  <c r="V3" i="1"/>
  <c r="U3" i="1"/>
  <c r="T3" i="1"/>
  <c r="S3" i="1"/>
  <c r="R3" i="1"/>
  <c r="Q3" i="1"/>
  <c r="N3" i="1"/>
  <c r="M3" i="1"/>
  <c r="L3" i="1"/>
  <c r="K3" i="1"/>
  <c r="J3" i="1"/>
  <c r="I3" i="1"/>
  <c r="H3" i="1"/>
  <c r="G3" i="1"/>
  <c r="F3" i="1"/>
  <c r="E3" i="1"/>
  <c r="D3" i="1"/>
  <c r="C3" i="1"/>
  <c r="A57" i="4" l="1"/>
  <c r="B57" i="4" s="1"/>
  <c r="A50" i="4"/>
  <c r="B50" i="4" s="1"/>
  <c r="A60" i="4"/>
  <c r="B60" i="4" s="1"/>
  <c r="A59" i="4"/>
  <c r="B59" i="4" s="1"/>
  <c r="A58" i="4"/>
  <c r="B58" i="4" s="1"/>
  <c r="A51" i="4"/>
  <c r="B51" i="4" s="1"/>
  <c r="A61" i="4" l="1"/>
  <c r="B61" i="4" s="1"/>
  <c r="A56" i="4"/>
  <c r="B56" i="4" s="1"/>
  <c r="A3" i="4"/>
  <c r="B3" i="4" s="1"/>
  <c r="A2" i="4"/>
  <c r="B2" i="4" l="1"/>
  <c r="A48" i="4"/>
  <c r="B48" i="4" s="1"/>
  <c r="A42" i="4" l="1"/>
  <c r="B42" i="4" s="1"/>
  <c r="A19" i="4" l="1"/>
  <c r="B19" i="4" s="1"/>
  <c r="A65" i="4" l="1"/>
  <c r="B65" i="4" s="1"/>
  <c r="A64" i="4"/>
  <c r="B64" i="4" s="1"/>
  <c r="A63" i="4"/>
  <c r="B63" i="4" s="1"/>
  <c r="A62" i="4"/>
  <c r="B62" i="4" s="1"/>
  <c r="A55" i="4"/>
  <c r="B55" i="4" s="1"/>
  <c r="A54" i="4"/>
  <c r="B54" i="4" s="1"/>
  <c r="A52" i="4"/>
  <c r="B52" i="4" s="1"/>
  <c r="A49" i="4"/>
  <c r="B49" i="4" s="1"/>
  <c r="A46" i="4"/>
  <c r="B46" i="4" s="1"/>
  <c r="A45" i="4"/>
  <c r="B45" i="4" s="1"/>
  <c r="A44" i="4"/>
  <c r="B44" i="4" s="1"/>
  <c r="A43" i="4"/>
  <c r="B43" i="4" s="1"/>
  <c r="A41" i="4"/>
  <c r="B41" i="4" s="1"/>
  <c r="A35" i="4"/>
  <c r="B35" i="4" s="1"/>
  <c r="A14" i="4"/>
  <c r="B14" i="4" s="1"/>
  <c r="A12" i="4" l="1"/>
  <c r="B12" i="4" s="1"/>
  <c r="A7" i="4"/>
  <c r="B7" i="4" s="1"/>
  <c r="A8" i="4"/>
  <c r="B8" i="4" s="1"/>
  <c r="A6" i="4"/>
  <c r="B6" i="4" s="1"/>
  <c r="A159" i="4"/>
  <c r="B159" i="4" s="1"/>
  <c r="A158" i="4"/>
  <c r="B158" i="4" s="1"/>
  <c r="A157" i="4"/>
  <c r="B157" i="4" s="1"/>
  <c r="A156" i="4"/>
  <c r="B156" i="4" s="1"/>
  <c r="A155" i="4"/>
  <c r="B155" i="4" s="1"/>
  <c r="A154" i="4"/>
  <c r="B154" i="4" s="1"/>
  <c r="A153" i="4"/>
  <c r="B153" i="4" s="1"/>
  <c r="A152" i="4"/>
  <c r="B152" i="4" s="1"/>
  <c r="A151" i="4"/>
  <c r="B151" i="4" s="1"/>
  <c r="A150" i="4"/>
  <c r="B150" i="4" s="1"/>
  <c r="A149" i="4"/>
  <c r="B149" i="4" s="1"/>
  <c r="A148" i="4"/>
  <c r="B148" i="4" s="1"/>
  <c r="A147" i="4"/>
  <c r="B147" i="4" s="1"/>
  <c r="A146" i="4"/>
  <c r="B146" i="4" s="1"/>
  <c r="A145" i="4"/>
  <c r="B145" i="4" s="1"/>
  <c r="A144" i="4"/>
  <c r="B144" i="4" s="1"/>
  <c r="A143" i="4"/>
  <c r="B143" i="4" s="1"/>
  <c r="A142" i="4"/>
  <c r="B142" i="4" s="1"/>
  <c r="A141" i="4"/>
  <c r="B141" i="4" s="1"/>
  <c r="A140" i="4"/>
  <c r="B140" i="4" s="1"/>
  <c r="A139" i="4"/>
  <c r="B139" i="4" s="1"/>
  <c r="A138" i="4"/>
  <c r="B138" i="4" s="1"/>
  <c r="A137" i="4"/>
  <c r="B137" i="4" s="1"/>
  <c r="A136" i="4"/>
  <c r="B136" i="4" s="1"/>
  <c r="A135" i="4"/>
  <c r="B135" i="4" s="1"/>
  <c r="A134" i="4"/>
  <c r="B134" i="4" s="1"/>
  <c r="A133" i="4"/>
  <c r="B133" i="4" s="1"/>
  <c r="A132" i="4"/>
  <c r="B132" i="4" s="1"/>
  <c r="A131" i="4"/>
  <c r="B131" i="4" s="1"/>
  <c r="A130" i="4"/>
  <c r="B130" i="4" s="1"/>
  <c r="A129" i="4"/>
  <c r="B129" i="4" s="1"/>
  <c r="A128" i="4"/>
  <c r="B128" i="4" s="1"/>
  <c r="A127" i="4"/>
  <c r="B127" i="4" s="1"/>
  <c r="A126" i="4"/>
  <c r="B126" i="4" s="1"/>
  <c r="A125" i="4"/>
  <c r="B125" i="4" s="1"/>
  <c r="A124" i="4"/>
  <c r="B124" i="4" s="1"/>
  <c r="A123" i="4"/>
  <c r="B123" i="4" s="1"/>
  <c r="A122" i="4"/>
  <c r="B122" i="4" s="1"/>
  <c r="A121" i="4"/>
  <c r="B121" i="4" s="1"/>
  <c r="A120" i="4"/>
  <c r="B120" i="4" s="1"/>
  <c r="A119" i="4"/>
  <c r="B119" i="4" s="1"/>
  <c r="A118" i="4"/>
  <c r="B118" i="4" s="1"/>
  <c r="A117" i="4"/>
  <c r="B117" i="4" s="1"/>
  <c r="A116" i="4"/>
  <c r="B116" i="4" s="1"/>
  <c r="A115" i="4"/>
  <c r="B115" i="4" s="1"/>
  <c r="A114" i="4"/>
  <c r="B114" i="4" s="1"/>
  <c r="A113" i="4"/>
  <c r="B113" i="4" s="1"/>
  <c r="A112" i="4"/>
  <c r="B112" i="4" s="1"/>
  <c r="A111" i="4"/>
  <c r="B111" i="4" s="1"/>
  <c r="A110" i="4"/>
  <c r="B110" i="4" s="1"/>
  <c r="A109" i="4"/>
  <c r="B109" i="4" s="1"/>
  <c r="A108" i="4"/>
  <c r="B108" i="4" s="1"/>
  <c r="A107" i="4"/>
  <c r="B107" i="4" s="1"/>
  <c r="A106" i="4"/>
  <c r="B106" i="4" s="1"/>
  <c r="A105" i="4"/>
  <c r="B105" i="4" s="1"/>
  <c r="A104" i="4"/>
  <c r="B104" i="4" s="1"/>
  <c r="A103" i="4"/>
  <c r="B103" i="4" s="1"/>
  <c r="A102" i="4"/>
  <c r="B102" i="4" s="1"/>
  <c r="A101" i="4"/>
  <c r="B101" i="4" s="1"/>
  <c r="A100" i="4"/>
  <c r="B100" i="4" s="1"/>
  <c r="A99" i="4"/>
  <c r="B99" i="4" s="1"/>
  <c r="A98" i="4"/>
  <c r="B98" i="4" s="1"/>
  <c r="A97" i="4"/>
  <c r="B97" i="4" s="1"/>
  <c r="A96" i="4"/>
  <c r="B96" i="4" s="1"/>
  <c r="A95" i="4"/>
  <c r="B95" i="4" s="1"/>
  <c r="A94" i="4"/>
  <c r="B94" i="4" s="1"/>
  <c r="A93" i="4"/>
  <c r="B93" i="4" s="1"/>
  <c r="A92" i="4"/>
  <c r="B92" i="4" s="1"/>
  <c r="A91" i="4"/>
  <c r="B91" i="4" s="1"/>
  <c r="A90" i="4"/>
  <c r="B90" i="4" s="1"/>
  <c r="A89" i="4"/>
  <c r="B89" i="4" s="1"/>
  <c r="A88" i="4"/>
  <c r="B88" i="4" s="1"/>
  <c r="A87" i="4"/>
  <c r="B87" i="4" s="1"/>
  <c r="A86" i="4"/>
  <c r="B86" i="4" s="1"/>
  <c r="A85" i="4"/>
  <c r="B85" i="4" s="1"/>
  <c r="A84" i="4"/>
  <c r="B84" i="4" s="1"/>
  <c r="A83" i="4"/>
  <c r="B83" i="4" s="1"/>
  <c r="A82" i="4"/>
  <c r="B82" i="4" s="1"/>
  <c r="A81" i="4"/>
  <c r="B81" i="4" s="1"/>
  <c r="A80" i="4"/>
  <c r="B80" i="4" s="1"/>
  <c r="A79" i="4"/>
  <c r="B79" i="4" s="1"/>
  <c r="A78" i="4"/>
  <c r="B78" i="4" s="1"/>
  <c r="A77" i="4"/>
  <c r="B77" i="4" s="1"/>
  <c r="A76" i="4"/>
  <c r="B76" i="4" s="1"/>
  <c r="A75" i="4"/>
  <c r="B75" i="4" s="1"/>
  <c r="A74" i="4"/>
  <c r="B74" i="4" s="1"/>
  <c r="A73" i="4"/>
  <c r="B73" i="4" s="1"/>
  <c r="A72" i="4"/>
  <c r="B72" i="4" s="1"/>
  <c r="A71" i="4"/>
  <c r="B71" i="4" s="1"/>
  <c r="A70" i="4"/>
  <c r="B70" i="4" s="1"/>
  <c r="A69" i="4"/>
  <c r="B69" i="4" s="1"/>
  <c r="A68" i="4"/>
  <c r="B68" i="4" s="1"/>
  <c r="A67" i="4"/>
  <c r="B67" i="4" s="1"/>
  <c r="A66" i="4"/>
  <c r="B66" i="4" s="1"/>
  <c r="A18" i="4"/>
  <c r="B18" i="4" s="1"/>
  <c r="A17" i="4"/>
  <c r="B17" i="4" s="1"/>
  <c r="A13" i="4"/>
  <c r="B13" i="4" s="1"/>
  <c r="A5" i="4"/>
  <c r="B5" i="4" l="1"/>
  <c r="B7" i="5"/>
  <c r="B6" i="5"/>
  <c r="B3" i="5" l="1"/>
  <c r="B4" i="5"/>
  <c r="B10" i="5"/>
  <c r="B9" i="5" l="1"/>
  <c r="A9" i="5"/>
  <c r="A10" i="5" l="1"/>
  <c r="B17" i="5"/>
  <c r="B16" i="5"/>
  <c r="B14" i="5"/>
  <c r="B12" i="5"/>
  <c r="B13"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C2" authorId="0" shapeId="0" xr:uid="{00000000-0006-0000-0000-000001000000}">
      <text>
        <r>
          <rPr>
            <b/>
            <sz val="9"/>
            <color indexed="81"/>
            <rFont val="Segoe UI"/>
            <family val="2"/>
          </rPr>
          <t>Autor:</t>
        </r>
        <r>
          <rPr>
            <sz val="9"/>
            <color indexed="81"/>
            <rFont val="Segoe UI"/>
            <family val="2"/>
          </rPr>
          <t xml:space="preserve">
Safety primarily means protecting a person against harm. It includes also the subjective feeling of "being well protected". </t>
        </r>
      </text>
    </comment>
    <comment ref="E2" authorId="0" shapeId="0" xr:uid="{00000000-0006-0000-0000-000002000000}">
      <text>
        <r>
          <rPr>
            <b/>
            <sz val="9"/>
            <color indexed="81"/>
            <rFont val="Segoe UI"/>
            <family val="2"/>
          </rPr>
          <t>Autor:</t>
        </r>
        <r>
          <rPr>
            <sz val="9"/>
            <color indexed="81"/>
            <rFont val="Segoe UI"/>
            <family val="2"/>
          </rPr>
          <t xml:space="preserve">
Care is given and decisions and responsibility are taken on behalf of the other – the one in need – to the extent that that person is no longer able to do these things themselves.</t>
        </r>
      </text>
    </comment>
    <comment ref="G2" authorId="0" shapeId="0" xr:uid="{00000000-0006-0000-0000-000003000000}">
      <text>
        <r>
          <rPr>
            <b/>
            <sz val="9"/>
            <color indexed="81"/>
            <rFont val="Segoe UI"/>
            <family val="2"/>
          </rPr>
          <t>Autor:</t>
        </r>
        <r>
          <rPr>
            <sz val="9"/>
            <color indexed="81"/>
            <rFont val="Segoe UI"/>
            <family val="2"/>
          </rPr>
          <t xml:space="preserve">
The term autonomy […] is nowadays often equated with an individual’s maximum freedom of decision and action.</t>
        </r>
      </text>
    </comment>
    <comment ref="I2" authorId="0" shapeId="0" xr:uid="{00000000-0006-0000-0000-000004000000}">
      <text>
        <r>
          <rPr>
            <b/>
            <sz val="9"/>
            <color indexed="81"/>
            <rFont val="Segoe UI"/>
            <family val="2"/>
          </rPr>
          <t>Autor:</t>
        </r>
        <r>
          <rPr>
            <sz val="9"/>
            <color indexed="81"/>
            <rFont val="Segoe UI"/>
            <family val="2"/>
          </rPr>
          <t xml:space="preserve">
Participation […] means providing people with access, rights, services, and assets that enable them to live together with other people in society.</t>
        </r>
      </text>
    </comment>
    <comment ref="K2" authorId="0" shapeId="0" xr:uid="{00000000-0006-0000-0000-000005000000}">
      <text>
        <r>
          <rPr>
            <b/>
            <sz val="9"/>
            <color indexed="81"/>
            <rFont val="Segoe UI"/>
            <family val="2"/>
          </rPr>
          <t>Autor:</t>
        </r>
        <r>
          <rPr>
            <sz val="9"/>
            <color indexed="81"/>
            <rFont val="Segoe UI"/>
            <family val="2"/>
          </rPr>
          <t xml:space="preserve">
(1) Transparency: inform data subject about data use. 
(2) Purpose limitation / minimization: Store as few data as possible, and use it only for its dedicated purpose. 
(3) Integrity: prevent unauthorized access. 
(4) The right to be forgotten.</t>
        </r>
      </text>
    </comment>
    <comment ref="M2" authorId="0" shapeId="0" xr:uid="{00000000-0006-0000-0000-000006000000}">
      <text>
        <r>
          <rPr>
            <b/>
            <sz val="9"/>
            <color indexed="81"/>
            <rFont val="Segoe UI"/>
            <family val="2"/>
          </rPr>
          <t>Autor:</t>
        </r>
        <r>
          <rPr>
            <sz val="9"/>
            <color indexed="81"/>
            <rFont val="Segoe UI"/>
            <family val="2"/>
          </rPr>
          <t xml:space="preserve">
Fairness means that the same standards are applied to everyone, and that ressources are provided according to degree of neediness. </t>
        </r>
      </text>
    </comment>
    <comment ref="O2" authorId="0" shapeId="0" xr:uid="{00000000-0006-0000-0000-000007000000}">
      <text>
        <r>
          <rPr>
            <b/>
            <sz val="9"/>
            <color indexed="81"/>
            <rFont val="Segoe UI"/>
            <family val="2"/>
          </rPr>
          <t>Autor:</t>
        </r>
        <r>
          <rPr>
            <sz val="9"/>
            <color indexed="81"/>
            <rFont val="Segoe UI"/>
            <family val="2"/>
          </rPr>
          <t xml:space="preserve">
A persons' freedom to evaluate and perceive herself according to her own personal mental model. Strongly related is the perceived self-efficacy, the expectation to successfully carry out intended acts based on one's competences. </t>
        </r>
      </text>
    </comment>
    <comment ref="Q2" authorId="0" shapeId="0" xr:uid="{00000000-0006-0000-0000-000008000000}">
      <text>
        <r>
          <rPr>
            <b/>
            <sz val="9"/>
            <color indexed="81"/>
            <rFont val="Segoe UI"/>
            <family val="2"/>
          </rPr>
          <t>Autor:</t>
        </r>
        <r>
          <rPr>
            <sz val="9"/>
            <color indexed="81"/>
            <rFont val="Segoe UI"/>
            <family val="2"/>
          </rPr>
          <t xml:space="preserve">
Does the system save effort (time, money, responsibilities, …), or does it require additional resources for its operation (compared to a situation without the system)?</t>
        </r>
      </text>
    </comment>
    <comment ref="S2" authorId="0" shapeId="0" xr:uid="{00000000-0006-0000-0000-000009000000}">
      <text>
        <r>
          <rPr>
            <b/>
            <sz val="9"/>
            <color indexed="81"/>
            <rFont val="Segoe UI"/>
            <family val="2"/>
          </rPr>
          <t>Autor:</t>
        </r>
        <r>
          <rPr>
            <sz val="9"/>
            <color indexed="81"/>
            <rFont val="Segoe UI"/>
            <family val="2"/>
          </rPr>
          <t xml:space="preserve">
Profitability means an organisation's ability to fund its operations and strategic development out of its revenues. </t>
        </r>
      </text>
    </comment>
    <comment ref="U2" authorId="0" shapeId="0" xr:uid="{00000000-0006-0000-0000-00000A000000}">
      <text>
        <r>
          <rPr>
            <b/>
            <sz val="9"/>
            <color indexed="81"/>
            <rFont val="Segoe UI"/>
            <family val="2"/>
          </rPr>
          <t>Autor:</t>
        </r>
        <r>
          <rPr>
            <sz val="9"/>
            <color indexed="81"/>
            <rFont val="Segoe UI"/>
            <family val="2"/>
          </rPr>
          <t xml:space="preserve">
Opportunity describes an organisation's ability and position to drive innovation, expand its market share, improve customer loyalty, or pursue any other strategic goals.</t>
        </r>
      </text>
    </comment>
    <comment ref="A5" authorId="0" shapeId="0" xr:uid="{00000000-0006-0000-0000-00000B000000}">
      <text>
        <r>
          <rPr>
            <b/>
            <sz val="9"/>
            <color indexed="81"/>
            <rFont val="Segoe UI"/>
            <family val="2"/>
          </rPr>
          <t>Autor:</t>
        </r>
        <r>
          <rPr>
            <sz val="9"/>
            <color indexed="81"/>
            <rFont val="Segoe UI"/>
            <family val="2"/>
          </rPr>
          <t xml:space="preserve">
Employees in locations with an alert button. For instance, a nurse, a doctor's assistant, or shop assistant.
</t>
        </r>
      </text>
    </comment>
    <comment ref="A6" authorId="0" shapeId="0" xr:uid="{00000000-0006-0000-0000-00000C000000}">
      <text>
        <r>
          <rPr>
            <b/>
            <sz val="9"/>
            <color indexed="81"/>
            <rFont val="Segoe UI"/>
            <family val="2"/>
          </rPr>
          <t>Autor:</t>
        </r>
        <r>
          <rPr>
            <sz val="9"/>
            <color indexed="81"/>
            <rFont val="Segoe UI"/>
            <family val="2"/>
          </rPr>
          <t xml:space="preserve">
E.g. a medical practice, a café, or a bakery.</t>
        </r>
      </text>
    </comment>
    <comment ref="A9" authorId="0" shapeId="0" xr:uid="{00000000-0006-0000-0000-00000D000000}">
      <text>
        <r>
          <rPr>
            <b/>
            <sz val="9"/>
            <color indexed="81"/>
            <rFont val="Segoe UI"/>
            <family val="2"/>
          </rPr>
          <t>Autor:</t>
        </r>
        <r>
          <rPr>
            <sz val="9"/>
            <color indexed="81"/>
            <rFont val="Segoe UI"/>
            <family val="2"/>
          </rPr>
          <t xml:space="preserve">
(as an organisation required to operate in a profitable or at least cost-covering manner)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F2" authorId="0" shapeId="0" xr:uid="{00000000-0006-0000-0100-000001000000}">
      <text>
        <r>
          <rPr>
            <sz val="9"/>
            <color indexed="81"/>
            <rFont val="Segoe UI"/>
            <family val="2"/>
          </rPr>
          <t xml:space="preserve">Safety primarily means protecting a person against harm. It includes also the subjective feeling of "being well protected". </t>
        </r>
      </text>
    </comment>
    <comment ref="F3" authorId="0" shapeId="0" xr:uid="{00000000-0006-0000-0100-000002000000}">
      <text>
        <r>
          <rPr>
            <sz val="9"/>
            <color indexed="81"/>
            <rFont val="Segoe UI"/>
            <family val="2"/>
          </rPr>
          <t xml:space="preserve">Safety primarily means protecting a person against harm. It includes also the subjective feeling of "being well protected". </t>
        </r>
      </text>
    </comment>
    <comment ref="C4" authorId="0" shapeId="0" xr:uid="{00000000-0006-0000-0100-000003000000}">
      <text>
        <r>
          <rPr>
            <sz val="9"/>
            <color indexed="81"/>
            <rFont val="Segoe UI"/>
            <family val="2"/>
          </rPr>
          <t>Person suffering from dementia lives in in a nursing home</t>
        </r>
      </text>
    </comment>
    <comment ref="D4" authorId="0" shapeId="0" xr:uid="{00000000-0006-0000-0100-000004000000}">
      <text>
        <r>
          <rPr>
            <sz val="9"/>
            <color indexed="81"/>
            <rFont val="Segoe UI"/>
            <family val="2"/>
          </rPr>
          <t>ILA operates as part of a home emergency call service</t>
        </r>
      </text>
    </comment>
    <comment ref="F4" authorId="0" shapeId="0" xr:uid="{00000000-0006-0000-0100-000005000000}">
      <text>
        <r>
          <rPr>
            <sz val="9"/>
            <color indexed="81"/>
            <rFont val="Segoe UI"/>
            <family val="2"/>
          </rPr>
          <t>Care is given and decisions and responsibility are taken on behalf of the other – the one in need – to the extent that that person is no longer able to do these things themselves [...].</t>
        </r>
      </text>
    </comment>
    <comment ref="F5" authorId="0" shapeId="0" xr:uid="{00000000-0006-0000-0100-000006000000}">
      <text>
        <r>
          <rPr>
            <sz val="9"/>
            <color indexed="81"/>
            <rFont val="Segoe UI"/>
            <family val="2"/>
          </rPr>
          <t>The term autonomy […] is nowadays often equated with an individual’s maximum freedom of decision and action.</t>
        </r>
      </text>
    </comment>
    <comment ref="F6" authorId="0" shapeId="0" xr:uid="{00000000-0006-0000-0100-000007000000}">
      <text>
        <r>
          <rPr>
            <sz val="9"/>
            <color indexed="81"/>
            <rFont val="Segoe UI"/>
            <family val="2"/>
          </rPr>
          <t>The term autonomy […] is nowadays often equated with an individual’s maximum freedom of decision and action.</t>
        </r>
      </text>
    </comment>
    <comment ref="F7" authorId="0" shapeId="0" xr:uid="{00000000-0006-0000-0100-000008000000}">
      <text>
        <r>
          <rPr>
            <sz val="9"/>
            <color indexed="81"/>
            <rFont val="Segoe UI"/>
            <family val="2"/>
          </rPr>
          <t>Participation […] means providing people with access, rights, services, and assets that enable them to live together with other people in society.</t>
        </r>
      </text>
    </comment>
    <comment ref="F8" authorId="0" shapeId="0" xr:uid="{00000000-0006-0000-0100-000009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9" authorId="0" shapeId="0" xr:uid="{00000000-0006-0000-0100-00000A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10" authorId="0" shapeId="0" xr:uid="{00000000-0006-0000-0100-00000B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11" authorId="0" shapeId="0" xr:uid="{00000000-0006-0000-0100-00000C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12" authorId="0" shapeId="0" xr:uid="{00000000-0006-0000-0100-00000D000000}">
      <text>
        <r>
          <rPr>
            <sz val="9"/>
            <color indexed="81"/>
            <rFont val="Segoe UI"/>
            <family val="2"/>
          </rPr>
          <t>The term autonomy […] is nowadays often equated with an individual’s maximum freedom of decision and action.</t>
        </r>
      </text>
    </comment>
    <comment ref="F13" authorId="0" shapeId="0" xr:uid="{00000000-0006-0000-0100-00000E000000}">
      <text>
        <r>
          <rPr>
            <sz val="9"/>
            <color indexed="81"/>
            <rFont val="Segoe UI"/>
            <family val="2"/>
          </rPr>
          <t>The term autonomy […] is nowadays often equated with an individual’s maximum freedom of decision and action.</t>
        </r>
      </text>
    </comment>
    <comment ref="F14" authorId="0" shapeId="0" xr:uid="{00000000-0006-0000-0100-00000F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15" authorId="0" shapeId="0" xr:uid="{00000000-0006-0000-0100-000010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16" authorId="0" shapeId="0" xr:uid="{00000000-0006-0000-0100-000011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17" authorId="0" shapeId="0" xr:uid="{00000000-0006-0000-0100-000012000000}">
      <text>
        <r>
          <rPr>
            <sz val="9"/>
            <color indexed="81"/>
            <rFont val="Segoe UI"/>
            <family val="2"/>
          </rPr>
          <t>Several contact persons, not all living nearby, not all frequently available</t>
        </r>
      </text>
    </comment>
    <comment ref="F17" authorId="0" shapeId="0" xr:uid="{00000000-0006-0000-0100-000013000000}">
      <text>
        <r>
          <rPr>
            <sz val="9"/>
            <color indexed="81"/>
            <rFont val="Segoe UI"/>
            <family val="2"/>
          </rPr>
          <t xml:space="preserve">Fairness means that the same standards are applied to everyone, and that ressources are provided according to degree of neediness. </t>
        </r>
      </text>
    </comment>
    <comment ref="F18" authorId="0" shapeId="0" xr:uid="{00000000-0006-0000-0100-000014000000}">
      <text>
        <r>
          <rPr>
            <sz val="9"/>
            <color indexed="81"/>
            <rFont val="Segoe UI"/>
            <family val="2"/>
          </rPr>
          <t>Does the system save effort (time, money, responsibilities, …), or does it require additional resources for its operation (compared to a situation without the system)?</t>
        </r>
      </text>
    </comment>
    <comment ref="F19" authorId="0" shapeId="0" xr:uid="{00000000-0006-0000-0100-000015000000}">
      <text>
        <r>
          <rPr>
            <sz val="9"/>
            <color indexed="81"/>
            <rFont val="Segoe UI"/>
            <family val="2"/>
          </rPr>
          <t>Does the system save effort (time, money, responsibilities, …), or does it require additional resources for its operation (compared to a situation without the system)?</t>
        </r>
      </text>
    </comment>
    <comment ref="F20" authorId="0" shapeId="0" xr:uid="{00000000-0006-0000-0100-00001600000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F21" authorId="0" shapeId="0" xr:uid="{00000000-0006-0000-0100-00001700000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F22" authorId="0" shapeId="0" xr:uid="{00000000-0006-0000-0100-000018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23" authorId="0" shapeId="0" xr:uid="{00000000-0006-0000-0100-000019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24" authorId="0" shapeId="0" xr:uid="{00000000-0006-0000-0100-00001A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25" authorId="0" shapeId="0" xr:uid="{00000000-0006-0000-0100-00001B000000}">
      <text>
        <r>
          <rPr>
            <sz val="9"/>
            <color indexed="81"/>
            <rFont val="Segoe UI"/>
            <family val="2"/>
          </rPr>
          <t>Does the system save effort (time, money, responsibilities, …), or does it require additional resources for its operation (compared to a situation without the system)?</t>
        </r>
      </text>
    </comment>
    <comment ref="F26" authorId="0" shapeId="0" xr:uid="{00000000-0006-0000-0100-00001C000000}">
      <text>
        <r>
          <rPr>
            <sz val="9"/>
            <color indexed="81"/>
            <rFont val="Segoe UI"/>
            <family val="2"/>
          </rPr>
          <t>Does the system save effort (time, money, responsibilities, …), or does it require additional resources for its operation (compared to a situation without the system)?</t>
        </r>
      </text>
    </comment>
    <comment ref="F27" authorId="0" shapeId="0" xr:uid="{00000000-0006-0000-0100-00001D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28" authorId="0" shapeId="0" xr:uid="{00000000-0006-0000-0100-00001E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29" authorId="0" shapeId="0" xr:uid="{00000000-0006-0000-0100-00001F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30" authorId="0" shapeId="0" xr:uid="{00000000-0006-0000-0100-00002000000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F31" authorId="0" shapeId="0" xr:uid="{00000000-0006-0000-0100-000021000000}">
      <text>
        <r>
          <rPr>
            <sz val="9"/>
            <color indexed="81"/>
            <rFont val="Segoe UI"/>
            <family val="2"/>
          </rPr>
          <t>Does the system save effort (time, money, responsibilities, …), or does it require additional resources for its operation (compared to a situation without the system)?</t>
        </r>
      </text>
    </comment>
    <comment ref="F32" authorId="0" shapeId="0" xr:uid="{00000000-0006-0000-0100-000022000000}">
      <text>
        <r>
          <rPr>
            <sz val="9"/>
            <color indexed="81"/>
            <rFont val="Segoe UI"/>
            <family val="2"/>
          </rPr>
          <t xml:space="preserve">Profitability means an organisation's ability to fund its operations and strategic development out of its revenues. </t>
        </r>
      </text>
    </comment>
    <comment ref="F33" authorId="0" shapeId="0" xr:uid="{00000000-0006-0000-0100-000023000000}">
      <text>
        <r>
          <rPr>
            <sz val="9"/>
            <color indexed="81"/>
            <rFont val="Segoe UI"/>
            <family val="2"/>
          </rPr>
          <t xml:space="preserve">Profitability means an organisation's ability to fund its operations and strategic development out of its revenues. </t>
        </r>
      </text>
    </comment>
    <comment ref="F34" authorId="0" shapeId="0" xr:uid="{00000000-0006-0000-0100-000024000000}">
      <text>
        <r>
          <rPr>
            <sz val="9"/>
            <color indexed="81"/>
            <rFont val="Segoe UI"/>
            <family val="2"/>
          </rPr>
          <t xml:space="preserve">Profitability means an organisation's ability to fund its operations and strategic development out of its revenues. </t>
        </r>
      </text>
    </comment>
    <comment ref="C35" authorId="0" shapeId="0" xr:uid="{00000000-0006-0000-0100-000025000000}">
      <text>
        <r>
          <rPr>
            <sz val="9"/>
            <color indexed="81"/>
            <rFont val="Segoe UI"/>
            <family val="2"/>
          </rPr>
          <t>Person suffering from dementia lives in in a nursing home</t>
        </r>
      </text>
    </comment>
    <comment ref="F35" authorId="0" shapeId="0" xr:uid="{00000000-0006-0000-0100-000026000000}">
      <text>
        <r>
          <rPr>
            <sz val="9"/>
            <color indexed="81"/>
            <rFont val="Segoe UI"/>
            <family val="2"/>
          </rPr>
          <t>Does the system save effort (time, money, responsibilities, …), or does it require additional resources for its operation (compared to a situation without the system)?</t>
        </r>
      </text>
    </comment>
    <comment ref="C36" authorId="0" shapeId="0" xr:uid="{00000000-0006-0000-0100-000027000000}">
      <text>
        <r>
          <rPr>
            <sz val="9"/>
            <color indexed="81"/>
            <rFont val="Segoe UI"/>
            <family val="2"/>
          </rPr>
          <t>Person suffering from dementia lives in in a nursing home</t>
        </r>
      </text>
    </comment>
    <comment ref="F36" authorId="0" shapeId="0" xr:uid="{00000000-0006-0000-0100-00002800000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C37" authorId="0" shapeId="0" xr:uid="{00000000-0006-0000-0100-000029000000}">
      <text>
        <r>
          <rPr>
            <sz val="9"/>
            <color indexed="81"/>
            <rFont val="Segoe UI"/>
            <family val="2"/>
          </rPr>
          <t>Person suffering from dementia lives in in a nursing home</t>
        </r>
      </text>
    </comment>
    <comment ref="D37" authorId="0" shapeId="0" xr:uid="{00000000-0006-0000-0100-00002A000000}">
      <text>
        <r>
          <rPr>
            <sz val="9"/>
            <color indexed="81"/>
            <rFont val="Segoe UI"/>
            <family val="2"/>
          </rPr>
          <t>ILA is run as a stand-alone platform, offered as a nursing home service and administed by the nursing home</t>
        </r>
      </text>
    </comment>
    <comment ref="F37" authorId="0" shapeId="0" xr:uid="{00000000-0006-0000-0100-00002B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38" authorId="0" shapeId="0" xr:uid="{00000000-0006-0000-0100-00002C000000}">
      <text>
        <r>
          <rPr>
            <sz val="9"/>
            <color indexed="81"/>
            <rFont val="Segoe UI"/>
            <family val="2"/>
          </rPr>
          <t>Person suffering from dementia lives in in a nursing home</t>
        </r>
      </text>
    </comment>
    <comment ref="D38" authorId="0" shapeId="0" xr:uid="{00000000-0006-0000-0100-00002D000000}">
      <text>
        <r>
          <rPr>
            <sz val="9"/>
            <color indexed="81"/>
            <rFont val="Segoe UI"/>
            <family val="2"/>
          </rPr>
          <t>ILA is run as a stand-alone platform, offered as a nursing home service and administed by the nursing home</t>
        </r>
      </text>
    </comment>
    <comment ref="F38" authorId="0" shapeId="0" xr:uid="{00000000-0006-0000-0100-00002E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39" authorId="0" shapeId="0" xr:uid="{00000000-0006-0000-0100-00002F000000}">
      <text>
        <r>
          <rPr>
            <sz val="9"/>
            <color indexed="81"/>
            <rFont val="Segoe UI"/>
            <family val="2"/>
          </rPr>
          <t>Person suffering from dementia lives in in a nursing home</t>
        </r>
      </text>
    </comment>
    <comment ref="D39" authorId="0" shapeId="0" xr:uid="{00000000-0006-0000-0100-000030000000}">
      <text>
        <r>
          <rPr>
            <sz val="9"/>
            <color indexed="81"/>
            <rFont val="Segoe UI"/>
            <family val="2"/>
          </rPr>
          <t>ILA is run as a stand-alone platform, offered as a nursing home service and administed by the nursing home</t>
        </r>
      </text>
    </comment>
    <comment ref="F39" authorId="0" shapeId="0" xr:uid="{00000000-0006-0000-0100-000031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40" authorId="0" shapeId="0" xr:uid="{00000000-0006-0000-0100-000032000000}">
      <text>
        <r>
          <rPr>
            <sz val="9"/>
            <color indexed="81"/>
            <rFont val="Segoe UI"/>
            <family val="2"/>
          </rPr>
          <t>Person suffering from dementia lives in in a nursing home</t>
        </r>
      </text>
    </comment>
    <comment ref="F40" authorId="0" shapeId="0" xr:uid="{00000000-0006-0000-0100-00003300000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C41" authorId="0" shapeId="0" xr:uid="{00000000-0006-0000-0100-000034000000}">
      <text>
        <r>
          <rPr>
            <sz val="9"/>
            <color indexed="81"/>
            <rFont val="Segoe UI"/>
            <family val="2"/>
          </rPr>
          <t>Person suffering from dementia lives in in a nursing home</t>
        </r>
      </text>
    </comment>
    <comment ref="F41" authorId="0" shapeId="0" xr:uid="{00000000-0006-0000-0100-000035000000}">
      <text>
        <r>
          <rPr>
            <sz val="9"/>
            <color indexed="81"/>
            <rFont val="Segoe UI"/>
            <family val="2"/>
          </rPr>
          <t>Does the system save effort (time, money, responsibilities, …), or does it require additional resources for its operation (compared to a situation without the system)?</t>
        </r>
      </text>
    </comment>
    <comment ref="C42" authorId="0" shapeId="0" xr:uid="{00000000-0006-0000-0100-000036000000}">
      <text>
        <r>
          <rPr>
            <sz val="9"/>
            <color indexed="81"/>
            <rFont val="Segoe UI"/>
            <family val="2"/>
          </rPr>
          <t>Person suffering from dementia lives in in a nursing home</t>
        </r>
      </text>
    </comment>
    <comment ref="D42" authorId="0" shapeId="0" xr:uid="{00000000-0006-0000-0100-000037000000}">
      <text>
        <r>
          <rPr>
            <sz val="9"/>
            <color indexed="81"/>
            <rFont val="Segoe UI"/>
            <family val="2"/>
          </rPr>
          <t>ILA is run as a stand-alone platform, offered as a nursing home service and administed by the nursing home</t>
        </r>
      </text>
    </comment>
    <comment ref="F42" authorId="0" shapeId="0" xr:uid="{00000000-0006-0000-0100-000038000000}">
      <text>
        <r>
          <rPr>
            <sz val="9"/>
            <color indexed="81"/>
            <rFont val="Segoe UI"/>
            <family val="2"/>
          </rPr>
          <t>Does the system save effort (time, money, responsibilities, …), or does it require additional resources for its operation (compared to a situation without the system)?</t>
        </r>
      </text>
    </comment>
    <comment ref="C43" authorId="0" shapeId="0" xr:uid="{00000000-0006-0000-0100-000039000000}">
      <text>
        <r>
          <rPr>
            <sz val="9"/>
            <color indexed="81"/>
            <rFont val="Segoe UI"/>
            <family val="2"/>
          </rPr>
          <t>Person suffering from dementia lives in in a nursing home</t>
        </r>
      </text>
    </comment>
    <comment ref="D43" authorId="0" shapeId="0" xr:uid="{00000000-0006-0000-0100-00003A000000}">
      <text>
        <r>
          <rPr>
            <sz val="9"/>
            <color indexed="81"/>
            <rFont val="Segoe UI"/>
            <family val="2"/>
          </rPr>
          <t>ILA is run as a stand-alone platform, offered as a nursing home service and administed by the nursing home</t>
        </r>
      </text>
    </comment>
    <comment ref="F43" authorId="0" shapeId="0" xr:uid="{00000000-0006-0000-0100-00003B000000}">
      <text>
        <r>
          <rPr>
            <sz val="9"/>
            <color indexed="81"/>
            <rFont val="Segoe UI"/>
            <family val="2"/>
          </rPr>
          <t>Does the system save effort (time, money, responsibilities, …), or does it require additional resources for its operation (compared to a situation without the system)?</t>
        </r>
      </text>
    </comment>
    <comment ref="C44" authorId="0" shapeId="0" xr:uid="{00000000-0006-0000-0100-00003C000000}">
      <text>
        <r>
          <rPr>
            <sz val="9"/>
            <color indexed="81"/>
            <rFont val="Segoe UI"/>
            <family val="2"/>
          </rPr>
          <t>Person suffering from dementia lives in in a nursing home</t>
        </r>
      </text>
    </comment>
    <comment ref="D44" authorId="0" shapeId="0" xr:uid="{00000000-0006-0000-0100-00003D000000}">
      <text>
        <r>
          <rPr>
            <sz val="9"/>
            <color indexed="81"/>
            <rFont val="Segoe UI"/>
            <family val="2"/>
          </rPr>
          <t>ILA is run as a stand-alone platform, offered as a nursing home service and administed by the nursing home</t>
        </r>
      </text>
    </comment>
    <comment ref="F44" authorId="0" shapeId="0" xr:uid="{00000000-0006-0000-0100-00003E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45" authorId="0" shapeId="0" xr:uid="{00000000-0006-0000-0100-00003F000000}">
      <text>
        <r>
          <rPr>
            <sz val="9"/>
            <color indexed="81"/>
            <rFont val="Segoe UI"/>
            <family val="2"/>
          </rPr>
          <t>ILA is paid for by the health insurance</t>
        </r>
      </text>
    </comment>
    <comment ref="F45" authorId="0" shapeId="0" xr:uid="{00000000-0006-0000-0100-000040000000}">
      <text>
        <r>
          <rPr>
            <sz val="9"/>
            <color indexed="81"/>
            <rFont val="Segoe UI"/>
            <family val="2"/>
          </rPr>
          <t xml:space="preserve">Fairness means that the same standards are applied to everyone, and that ressources are provided according to degree of neediness. </t>
        </r>
      </text>
    </comment>
    <comment ref="C46" authorId="0" shapeId="0" xr:uid="{00000000-0006-0000-0100-000041000000}">
      <text>
        <r>
          <rPr>
            <sz val="9"/>
            <color indexed="81"/>
            <rFont val="Segoe UI"/>
            <family val="2"/>
          </rPr>
          <t>ILA is paid for by the health insurance</t>
        </r>
      </text>
    </comment>
    <comment ref="F46" authorId="0" shapeId="0" xr:uid="{00000000-0006-0000-0100-00004200000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C47" authorId="0" shapeId="0" xr:uid="{00000000-0006-0000-0100-000043000000}">
      <text>
        <r>
          <rPr>
            <sz val="9"/>
            <color indexed="81"/>
            <rFont val="Segoe UI"/>
            <family val="2"/>
          </rPr>
          <t>ILA is paid for by the health insurance</t>
        </r>
      </text>
    </comment>
    <comment ref="F47" authorId="0" shapeId="0" xr:uid="{00000000-0006-0000-0100-000044000000}">
      <text>
        <r>
          <rPr>
            <sz val="9"/>
            <color indexed="81"/>
            <rFont val="Segoe UI"/>
            <family val="2"/>
          </rPr>
          <t>Does the system save effort (time, money, responsibilities, …), or does it require additional resources for its operation (compared to a situation without the system)?</t>
        </r>
      </text>
    </comment>
    <comment ref="F48" authorId="0" shapeId="0" xr:uid="{00000000-0006-0000-0100-000045000000}">
      <text>
        <r>
          <rPr>
            <sz val="9"/>
            <color indexed="81"/>
            <rFont val="Segoe UI"/>
            <family val="2"/>
          </rPr>
          <t xml:space="preserve">Profitability means an organisation's ability to fund its operations and strategic development out of its revenues. </t>
        </r>
      </text>
    </comment>
    <comment ref="C49" authorId="0" shapeId="0" xr:uid="{00000000-0006-0000-0100-000046000000}">
      <text>
        <r>
          <rPr>
            <sz val="9"/>
            <color indexed="81"/>
            <rFont val="Segoe UI"/>
            <family val="2"/>
          </rPr>
          <t>ILA is paid for by the health insurance</t>
        </r>
      </text>
    </comment>
    <comment ref="F49" authorId="0" shapeId="0" xr:uid="{00000000-0006-0000-0100-000047000000}">
      <text>
        <r>
          <rPr>
            <sz val="9"/>
            <color indexed="81"/>
            <rFont val="Segoe UI"/>
            <family val="2"/>
          </rPr>
          <t>Opportunity describes an organisation's ability and position to drive innovation, expand its market share, improve customer loyalty, or pursue any other strategic goals.</t>
        </r>
      </text>
    </comment>
    <comment ref="C50" authorId="0" shapeId="0" xr:uid="{00000000-0006-0000-0100-000048000000}">
      <text>
        <r>
          <rPr>
            <sz val="9"/>
            <color indexed="81"/>
            <rFont val="Segoe UI"/>
            <family val="2"/>
          </rPr>
          <t>ILA is paid for by the health insurance</t>
        </r>
      </text>
    </comment>
    <comment ref="F50" authorId="0" shapeId="0" xr:uid="{00000000-0006-0000-0100-000049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51" authorId="0" shapeId="0" xr:uid="{00000000-0006-0000-0100-00004A000000}">
      <text>
        <r>
          <rPr>
            <sz val="9"/>
            <color indexed="81"/>
            <rFont val="Segoe UI"/>
            <family val="2"/>
          </rPr>
          <t>Does the system save effort (time, money, responsibilities, …), or does it require additional resources for its operation (compared to a situation without the system)?</t>
        </r>
      </text>
    </comment>
    <comment ref="F52" authorId="0" shapeId="0" xr:uid="{00000000-0006-0000-0100-00004B000000}">
      <text>
        <r>
          <rPr>
            <sz val="9"/>
            <color indexed="81"/>
            <rFont val="Segoe UI"/>
            <family val="2"/>
          </rPr>
          <t xml:space="preserve">Profitability means an organisation's ability to fund its operations and strategic development out of its revenues. </t>
        </r>
      </text>
    </comment>
    <comment ref="C53" authorId="0" shapeId="0" xr:uid="{00000000-0006-0000-0100-00004C000000}">
      <text>
        <r>
          <rPr>
            <sz val="9"/>
            <color indexed="81"/>
            <rFont val="Segoe UI"/>
            <family val="2"/>
          </rPr>
          <t>ILA operates as part of a home emergency call service</t>
        </r>
      </text>
    </comment>
    <comment ref="F53" authorId="0" shapeId="0" xr:uid="{00000000-0006-0000-0100-00004D000000}">
      <text>
        <r>
          <rPr>
            <sz val="9"/>
            <color indexed="81"/>
            <rFont val="Segoe UI"/>
            <family val="2"/>
          </rPr>
          <t xml:space="preserve">Profitability means an organisation's ability to fund its operations and strategic development out of its revenues. </t>
        </r>
      </text>
    </comment>
    <comment ref="F54" authorId="0" shapeId="0" xr:uid="{00000000-0006-0000-0100-00004E000000}">
      <text>
        <r>
          <rPr>
            <sz val="9"/>
            <color indexed="81"/>
            <rFont val="Segoe UI"/>
            <family val="2"/>
          </rPr>
          <t>Opportunity describes an organisation's ability and position to drive innovation, expand its market share, improve customer loyalty, or pursue any other strategic goals.</t>
        </r>
      </text>
    </comment>
    <comment ref="F55" authorId="0" shapeId="0" xr:uid="{00000000-0006-0000-0100-00004F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56" authorId="0" shapeId="0" xr:uid="{00000000-0006-0000-0100-000050000000}">
      <text>
        <r>
          <rPr>
            <sz val="9"/>
            <color indexed="81"/>
            <rFont val="Segoe UI"/>
            <family val="2"/>
          </rPr>
          <t>ILA operates as part of a home emergency call service</t>
        </r>
      </text>
    </comment>
    <comment ref="F56" authorId="0" shapeId="0" xr:uid="{00000000-0006-0000-0100-000051000000}">
      <text>
        <r>
          <rPr>
            <sz val="9"/>
            <color indexed="81"/>
            <rFont val="Segoe UI"/>
            <family val="2"/>
          </rPr>
          <t>Does the system save effort (time, money, responsibilities, …), or does it require additional resources for its operation (compared to a situation without the system)?</t>
        </r>
      </text>
    </comment>
    <comment ref="C57" authorId="0" shapeId="0" xr:uid="{00000000-0006-0000-0100-000052000000}">
      <text>
        <r>
          <rPr>
            <sz val="9"/>
            <color indexed="81"/>
            <rFont val="Segoe UI"/>
            <family val="2"/>
          </rPr>
          <t>ILA operates as part of a home emergency call service</t>
        </r>
      </text>
    </comment>
    <comment ref="F57" authorId="0" shapeId="0" xr:uid="{00000000-0006-0000-0100-000053000000}">
      <text>
        <r>
          <rPr>
            <sz val="9"/>
            <color indexed="81"/>
            <rFont val="Segoe UI"/>
            <family val="2"/>
          </rPr>
          <t>Does the system save effort (time, money, responsibilities, …), or does it require additional resources for its operation (compared to a situation without the system)?</t>
        </r>
      </text>
    </comment>
    <comment ref="C58" authorId="0" shapeId="0" xr:uid="{00000000-0006-0000-0100-000054000000}">
      <text>
        <r>
          <rPr>
            <sz val="9"/>
            <color indexed="81"/>
            <rFont val="Segoe UI"/>
            <family val="2"/>
          </rPr>
          <t>ILA operates as part of a home emergency call service</t>
        </r>
      </text>
    </comment>
    <comment ref="F58" authorId="0" shapeId="0" xr:uid="{00000000-0006-0000-0100-000055000000}">
      <text>
        <r>
          <rPr>
            <sz val="9"/>
            <color indexed="81"/>
            <rFont val="Segoe UI"/>
            <family val="2"/>
          </rPr>
          <t xml:space="preserve">Profitability means an organisation's ability to fund its operations and strategic development out of its revenues. </t>
        </r>
      </text>
    </comment>
    <comment ref="C59" authorId="0" shapeId="0" xr:uid="{00000000-0006-0000-0100-000056000000}">
      <text>
        <r>
          <rPr>
            <sz val="9"/>
            <color indexed="81"/>
            <rFont val="Segoe UI"/>
            <family val="2"/>
          </rPr>
          <t>ILA operates as part of a home emergency call service</t>
        </r>
      </text>
    </comment>
    <comment ref="F59" authorId="0" shapeId="0" xr:uid="{00000000-0006-0000-0100-000057000000}">
      <text>
        <r>
          <rPr>
            <sz val="9"/>
            <color indexed="81"/>
            <rFont val="Segoe UI"/>
            <family val="2"/>
          </rPr>
          <t xml:space="preserve">Profitability means an organisation's ability to fund its operations and strategic development out of its revenues. </t>
        </r>
      </text>
    </comment>
    <comment ref="C60" authorId="0" shapeId="0" xr:uid="{00000000-0006-0000-0100-000058000000}">
      <text>
        <r>
          <rPr>
            <sz val="9"/>
            <color indexed="81"/>
            <rFont val="Segoe UI"/>
            <family val="2"/>
          </rPr>
          <t>ILA operates as part of a home emergency call service</t>
        </r>
      </text>
    </comment>
    <comment ref="F60" authorId="0" shapeId="0" xr:uid="{00000000-0006-0000-0100-000059000000}">
      <text>
        <r>
          <rPr>
            <sz val="9"/>
            <color indexed="81"/>
            <rFont val="Segoe UI"/>
            <family val="2"/>
          </rPr>
          <t>Opportunity describes an organisation's ability and position to drive innovation, expand its market share, improve customer loyalty, or pursue any other strategic goals.</t>
        </r>
      </text>
    </comment>
    <comment ref="C61" authorId="0" shapeId="0" xr:uid="{00000000-0006-0000-0100-00005A000000}">
      <text>
        <r>
          <rPr>
            <sz val="9"/>
            <color indexed="81"/>
            <rFont val="Segoe UI"/>
            <family val="2"/>
          </rPr>
          <t>ILA operates as part of a home emergency call service</t>
        </r>
      </text>
    </comment>
    <comment ref="F61" authorId="0" shapeId="0" xr:uid="{00000000-0006-0000-0100-00005B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62" authorId="0" shapeId="0" xr:uid="{00000000-0006-0000-0100-00005C000000}">
      <text>
        <r>
          <rPr>
            <sz val="9"/>
            <color indexed="81"/>
            <rFont val="Segoe UI"/>
            <family val="2"/>
          </rPr>
          <t>The term autonomy […] is nowadays often equated with an individual’s maximum freedom of decision and action.</t>
        </r>
      </text>
    </comment>
    <comment ref="F63" authorId="0" shapeId="0" xr:uid="{00000000-0006-0000-0100-00005D000000}">
      <text>
        <r>
          <rPr>
            <sz val="9"/>
            <color indexed="81"/>
            <rFont val="Segoe UI"/>
            <family val="2"/>
          </rPr>
          <t>Participation […] means providing people with access, rights, services, and assets that enable them to live together with other people in society.</t>
        </r>
      </text>
    </comment>
    <comment ref="F64" authorId="0" shapeId="0" xr:uid="{00000000-0006-0000-0100-00005E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D6" authorId="0" shapeId="0" xr:uid="{FF0A056D-900E-8047-9E61-AC1471BF662F}">
      <text>
        <r>
          <rPr>
            <sz val="10"/>
            <color rgb="FF000000"/>
            <rFont val="Tahoma"/>
            <family val="2"/>
          </rPr>
          <t xml:space="preserve">Health Insurance - Fairness:
</t>
        </r>
        <r>
          <rPr>
            <sz val="10"/>
            <color rgb="FF000000"/>
            <rFont val="Tahoma"/>
            <family val="2"/>
          </rPr>
          <t xml:space="preserve">In case ILA is a service covered by health insurance, then there is a risk of unfair treatment of patients with regard to who is entitled to it. </t>
        </r>
      </text>
    </comment>
    <comment ref="E6" authorId="0" shapeId="0" xr:uid="{7FCD1BAA-B4AE-FF44-B8C9-E9FA66EE8CF3}">
      <text>
        <r>
          <rPr>
            <sz val="10"/>
            <color rgb="FF000000"/>
            <rFont val="Tahoma"/>
            <family val="2"/>
          </rPr>
          <t xml:space="preserve">Health Insurance - Self-Conception:
_x000D_The overall promise of a properly working ILA is supports a health insurance's self image as an "organisation intended to help by innovative means". </t>
        </r>
      </text>
    </comment>
    <comment ref="F6" authorId="0" shapeId="0" xr:uid="{54577F51-4B09-5847-94CF-BE1B60074EFB}">
      <text>
        <r>
          <rPr>
            <sz val="10"/>
            <color rgb="FF000000"/>
            <rFont val="Tahoma"/>
            <family val="2"/>
          </rPr>
          <t>Health Insurance - Liability:
_x000D_If ILA is offered as an innovative health insurance service, the insurance's reputation is at stake in case something goes wrong.</t>
        </r>
      </text>
    </comment>
    <comment ref="G6" authorId="0" shapeId="0" xr:uid="{8545DAAD-5367-624B-A55E-4D7143BF34EB}">
      <text>
        <r>
          <rPr>
            <sz val="10"/>
            <color rgb="FF000000"/>
            <rFont val="Tahoma"/>
            <family val="2"/>
          </rPr>
          <t>Health Insurance - Profitability:
_x000D_In the best possible case, ILA will contribute to persons suffering from dementia living longer in their own home, thus saving cost for the health insurance.</t>
        </r>
      </text>
    </comment>
    <comment ref="H6" authorId="0" shapeId="0" xr:uid="{EC798743-0E98-D748-959F-6A3786A606B2}">
      <text>
        <r>
          <rPr>
            <sz val="10"/>
            <color rgb="FF000000"/>
            <rFont val="Tahoma"/>
            <family val="2"/>
          </rPr>
          <t>Health Insurance - Opportunity:
_x000D_If ILA is sucessful, the insurance's reputation may benefit for offering such an innovative service.</t>
        </r>
      </text>
    </comment>
    <comment ref="I6" authorId="0" shapeId="0" xr:uid="{801A8D66-DE63-9849-BAD0-E57725217891}">
      <text>
        <r>
          <rPr>
            <sz val="10"/>
            <color rgb="FF000000"/>
            <rFont val="Tahoma"/>
            <family val="2"/>
          </rPr>
          <t xml:space="preserve">Health Insurance - Privacy:
_x000D_If there are data leaks in ILA, and personal data of health insurance customers get into the wrong hands, the health insurance might contributed to a GDPR laws violation. </t>
        </r>
      </text>
    </comment>
    <comment ref="C8" authorId="0" shapeId="0" xr:uid="{00000000-0006-0000-0200-000003000000}">
      <text>
        <r>
          <rPr>
            <sz val="9"/>
            <color indexed="81"/>
            <rFont val="Segoe UI"/>
            <family val="2"/>
          </rPr>
          <t>Several contact persons, not all living nearby, not all frequently available</t>
        </r>
      </text>
    </comment>
    <comment ref="C9" authorId="0" shapeId="0" xr:uid="{00000000-0006-0000-0200-000004000000}">
      <text>
        <r>
          <rPr>
            <sz val="9"/>
            <color rgb="FF000000"/>
            <rFont val="Segoe UI"/>
            <family val="2"/>
          </rPr>
          <t>ILA operates as part of a home emergency call service</t>
        </r>
      </text>
    </comment>
    <comment ref="C10" authorId="0" shapeId="0" xr:uid="{00000000-0006-0000-0200-000005000000}">
      <text>
        <r>
          <rPr>
            <sz val="9"/>
            <color rgb="FF000000"/>
            <rFont val="Segoe UI"/>
            <family val="2"/>
          </rPr>
          <t>Person suffering from dementia lives in in a nursing home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B2" authorId="0" shapeId="0" xr:uid="{00000000-0006-0000-0300-000001000000}">
      <text>
        <r>
          <rPr>
            <sz val="9"/>
            <color indexed="81"/>
            <rFont val="Segoe UI"/>
            <family val="2"/>
          </rPr>
          <t xml:space="preserve">ILA must provide training material (e.g. videos) in easy language, explaining the contact person's liability and the system's limitations. The documentation should recommend not to use the system if the contact person is ill or unavailable.   </t>
        </r>
      </text>
    </comment>
    <comment ref="E2" authorId="0" shapeId="0" xr:uid="{00000000-0006-0000-0300-000002000000}">
      <text>
        <r>
          <rPr>
            <sz val="9"/>
            <color indexed="81"/>
            <rFont val="Segoe UI"/>
            <family val="2"/>
          </rPr>
          <t>End user documentation of a software system, regardless of the media used for it (printed, online text, video, audio, …). Includes also dedicated training material.</t>
        </r>
      </text>
    </comment>
    <comment ref="F2" authorId="0" shapeId="0" xr:uid="{00000000-0006-0000-0300-000003000000}">
      <text>
        <r>
          <rPr>
            <sz val="9"/>
            <color indexed="81"/>
            <rFont val="Segoe UI"/>
            <family val="2"/>
          </rPr>
          <t xml:space="preserve">Safety primarily means protecting a person against harm. It includes also the subjective feeling of "being well protected". </t>
        </r>
      </text>
    </comment>
    <comment ref="B3" authorId="0" shapeId="0" xr:uid="{00000000-0006-0000-0300-000004000000}">
      <text>
        <r>
          <rPr>
            <sz val="9"/>
            <color indexed="81"/>
            <rFont val="Segoe UI"/>
            <family val="2"/>
          </rPr>
          <t>If there are multiple contact persons, each with limited availability: in that case, ILA's registration process for contact persons must be designed in a such a way that times where none of the contact persons is available, this is immediately visible and obvious. Yes, so and so and so and so on....</t>
        </r>
      </text>
    </comment>
    <comment ref="E3" authorId="0" shapeId="0" xr:uid="{00000000-0006-0000-0300-000005000000}">
      <text>
        <r>
          <rPr>
            <sz val="9"/>
            <color indexed="81"/>
            <rFont val="Segoe UI"/>
            <family val="2"/>
          </rPr>
          <t xml:space="preserve">Any kind of human-computer interface, regardless of technology. Usually based on software (web UI, app, rich client, etc.), but also including hardware interfaces likes switches or buttons. </t>
        </r>
      </text>
    </comment>
    <comment ref="F3" authorId="0" shapeId="0" xr:uid="{00000000-0006-0000-0300-000006000000}">
      <text>
        <r>
          <rPr>
            <sz val="9"/>
            <color indexed="81"/>
            <rFont val="Segoe UI"/>
            <family val="2"/>
          </rPr>
          <t xml:space="preserve">Safety primarily means protecting a person against harm. It includes also the subjective feeling of "being well protected". </t>
        </r>
      </text>
    </comment>
    <comment ref="B4" authorId="0" shapeId="0" xr:uid="{00000000-0006-0000-0300-000007000000}">
      <text>
        <r>
          <rPr>
            <sz val="9"/>
            <color indexed="81"/>
            <rFont val="Segoe UI"/>
            <family val="2"/>
          </rPr>
          <t>Fehler 2015</t>
        </r>
      </text>
    </comment>
    <comment ref="E4" authorId="0" shapeId="0" xr:uid="{00000000-0006-0000-0300-000008000000}">
      <text>
        <r>
          <rPr>
            <sz val="9"/>
            <color indexed="81"/>
            <rFont val="Segoe UI"/>
            <family val="2"/>
          </rPr>
          <t>End user documentation of a software system, regardless of the media used for it (printed, online text, video, audio, …). Includes also dedicated training material.</t>
        </r>
      </text>
    </comment>
    <comment ref="F4" authorId="0" shapeId="0" xr:uid="{00000000-0006-0000-0300-000009000000}">
      <text>
        <r>
          <rPr>
            <sz val="9"/>
            <color indexed="81"/>
            <rFont val="Segoe UI"/>
            <family val="2"/>
          </rPr>
          <t xml:space="preserve">Safety primarily means protecting a person against harm. It includes also the subjective feeling of "being well protected". </t>
        </r>
      </text>
    </comment>
    <comment ref="B5" authorId="0" shapeId="0" xr:uid="{00000000-0006-0000-0300-00000A000000}">
      <text>
        <r>
          <rPr>
            <sz val="9"/>
            <color indexed="81"/>
            <rFont val="Segoe UI"/>
            <family val="2"/>
          </rPr>
          <t>ILA must be able to automatically forward a distress call to an emergency call system.</t>
        </r>
      </text>
    </comment>
    <comment ref="E5" authorId="0" shapeId="0" xr:uid="{00000000-0006-0000-0300-00000B000000}">
      <text>
        <r>
          <rPr>
            <sz val="9"/>
            <color indexed="81"/>
            <rFont val="Segoe UI"/>
            <family val="2"/>
          </rPr>
          <t>Call of an external system in order to obtain additional functionality.</t>
        </r>
      </text>
    </comment>
    <comment ref="F5" authorId="0" shapeId="0" xr:uid="{00000000-0006-0000-0300-00000C000000}">
      <text>
        <r>
          <rPr>
            <sz val="9"/>
            <color indexed="81"/>
            <rFont val="Segoe UI"/>
            <family val="2"/>
          </rPr>
          <t xml:space="preserve">Safety primarily means protecting a person against harm. It includes also the subjective feeling of "being well protected". </t>
        </r>
      </text>
    </comment>
    <comment ref="B6" authorId="0" shapeId="0" xr:uid="{00000000-0006-0000-0300-00000D000000}">
      <text>
        <r>
          <rPr>
            <sz val="9"/>
            <color indexed="81"/>
            <rFont val="Segoe UI"/>
            <family val="2"/>
          </rPr>
          <t>ILA must be able to automatically forward a distress call to an emergency call system.</t>
        </r>
      </text>
    </comment>
    <comment ref="E6" authorId="0" shapeId="0" xr:uid="{00000000-0006-0000-0300-00000E000000}">
      <text>
        <r>
          <rPr>
            <sz val="9"/>
            <color indexed="81"/>
            <rFont val="Segoe UI"/>
            <family val="2"/>
          </rPr>
          <t>A calculus to model a certain behaviour, or solve a problem. There is a grey area between an entity's business logic (belongs to Data Entity) and an Algorithm (which needs so much code that you would write a dedicated class or event service for it).</t>
        </r>
      </text>
    </comment>
    <comment ref="F6" authorId="0" shapeId="0" xr:uid="{00000000-0006-0000-0300-00000F000000}">
      <text>
        <r>
          <rPr>
            <sz val="9"/>
            <color indexed="81"/>
            <rFont val="Segoe UI"/>
            <family val="2"/>
          </rPr>
          <t xml:space="preserve">Safety primarily means protecting a person against harm. It includes also the subjective feeling of "being well protected". </t>
        </r>
      </text>
    </comment>
    <comment ref="B7" authorId="0" shapeId="0" xr:uid="{00000000-0006-0000-0300-000010000000}">
      <text>
        <r>
          <rPr>
            <sz val="9"/>
            <color indexed="81"/>
            <rFont val="Segoe UI"/>
            <family val="2"/>
          </rPr>
          <t>ILA must provide introductory training material for caregivers and nursing home management, explaining recommendations for ILA registration and tracker use within these organisations.</t>
        </r>
      </text>
    </comment>
    <comment ref="E7" authorId="0" shapeId="0" xr:uid="{00000000-0006-0000-0300-000011000000}">
      <text>
        <r>
          <rPr>
            <sz val="9"/>
            <color indexed="81"/>
            <rFont val="Segoe UI"/>
            <family val="2"/>
          </rPr>
          <t>End user documentation of a software system, regardless of the media used for it (printed, online text, video, audio, …). Includes also dedicated training material.</t>
        </r>
      </text>
    </comment>
    <comment ref="F7" authorId="0" shapeId="0" xr:uid="{00000000-0006-0000-0300-000012000000}">
      <text>
        <r>
          <rPr>
            <sz val="9"/>
            <color indexed="81"/>
            <rFont val="Segoe UI"/>
            <family val="2"/>
          </rPr>
          <t>Care is given and decisions and responsibility are taken on behalf of the other – the one in need – to the extent that that person is no longer able to do these things themselves [...].</t>
        </r>
      </text>
    </comment>
    <comment ref="B8" authorId="0" shapeId="0" xr:uid="{00000000-0006-0000-0300-000013000000}">
      <text>
        <r>
          <rPr>
            <sz val="9"/>
            <color indexed="81"/>
            <rFont val="Segoe UI"/>
            <family val="2"/>
          </rPr>
          <t>ILA must provide introductory training material for caregivers and nursing home management, explaining recommendations for ILA registration and tracker use within these organisations.</t>
        </r>
      </text>
    </comment>
    <comment ref="E8" authorId="0" shapeId="0" xr:uid="{00000000-0006-0000-0300-000014000000}">
      <text>
        <r>
          <rPr>
            <sz val="9"/>
            <color indexed="81"/>
            <rFont val="Segoe UI"/>
            <family val="2"/>
          </rPr>
          <t>End user documentation of a software system, regardless of the media used for it (printed, online text, video, audio, …). Includes also dedicated training material.</t>
        </r>
      </text>
    </comment>
    <comment ref="F8" authorId="0" shapeId="0" xr:uid="{00000000-0006-0000-0300-000015000000}">
      <text>
        <r>
          <rPr>
            <sz val="9"/>
            <color indexed="81"/>
            <rFont val="Segoe UI"/>
            <family val="2"/>
          </rPr>
          <t>Care is given and decisions and responsibility are taken on behalf of the other – the one in need – to the extent that that person is no longer able to do these things themselves [...].</t>
        </r>
      </text>
    </comment>
    <comment ref="B9" authorId="0" shapeId="0" xr:uid="{00000000-0006-0000-0300-000016000000}">
      <text>
        <r>
          <rPr>
            <sz val="9"/>
            <color indexed="81"/>
            <rFont val="Segoe UI"/>
            <family val="2"/>
          </rPr>
          <t>ILA must provide introductory training material for caregivers and nursing home management, explaining recommendations for ILA registration and tracker use within these organisations.</t>
        </r>
      </text>
    </comment>
    <comment ref="E9" authorId="0" shapeId="0" xr:uid="{00000000-0006-0000-0300-000017000000}">
      <text>
        <r>
          <rPr>
            <sz val="9"/>
            <color indexed="81"/>
            <rFont val="Segoe UI"/>
            <family val="2"/>
          </rPr>
          <t>End user documentation of a software system, regardless of the media used for it (printed, online text, video, audio, …). Includes also dedicated training material.</t>
        </r>
      </text>
    </comment>
    <comment ref="F9" authorId="0" shapeId="0" xr:uid="{00000000-0006-0000-0300-000018000000}">
      <text>
        <r>
          <rPr>
            <sz val="9"/>
            <color indexed="81"/>
            <rFont val="Segoe UI"/>
            <family val="2"/>
          </rPr>
          <t>The term autonomy […] is nowadays often equated with an individual’s maximum freedom of decision and action.</t>
        </r>
      </text>
    </comment>
  </commentList>
</comments>
</file>

<file path=xl/sharedStrings.xml><?xml version="1.0" encoding="utf-8"?>
<sst xmlns="http://schemas.openxmlformats.org/spreadsheetml/2006/main" count="505" uniqueCount="278">
  <si>
    <t>Care</t>
  </si>
  <si>
    <t>Autonomy</t>
  </si>
  <si>
    <t>Safety</t>
  </si>
  <si>
    <t>Fairness</t>
  </si>
  <si>
    <t>Privacy</t>
  </si>
  <si>
    <t>Participation</t>
  </si>
  <si>
    <t>Self-Conception</t>
  </si>
  <si>
    <t>Profitability</t>
  </si>
  <si>
    <t>Opportunity</t>
  </si>
  <si>
    <t>Stakeholder</t>
  </si>
  <si>
    <t>Level</t>
  </si>
  <si>
    <t>Criterion</t>
  </si>
  <si>
    <t>C</t>
  </si>
  <si>
    <t>Abbreviations</t>
  </si>
  <si>
    <t>S</t>
  </si>
  <si>
    <t>Scenario</t>
  </si>
  <si>
    <t>G</t>
  </si>
  <si>
    <t>Goal</t>
  </si>
  <si>
    <t>R</t>
  </si>
  <si>
    <t>Risk</t>
  </si>
  <si>
    <t>Number</t>
  </si>
  <si>
    <t>Kind of Effect</t>
  </si>
  <si>
    <t>strongly negative</t>
  </si>
  <si>
    <t>none</t>
  </si>
  <si>
    <t>No effect</t>
  </si>
  <si>
    <t>slightly negative</t>
  </si>
  <si>
    <t>What does that mean for a person?</t>
  </si>
  <si>
    <t>What does that mean for an organisation?</t>
  </si>
  <si>
    <t>slightly positive</t>
  </si>
  <si>
    <t>strongly positive</t>
  </si>
  <si>
    <t>ID</t>
  </si>
  <si>
    <t>by …</t>
  </si>
  <si>
    <t>For Stakeholder …</t>
  </si>
  <si>
    <t>I</t>
  </si>
  <si>
    <t>O</t>
  </si>
  <si>
    <t>What does that mean for society?</t>
  </si>
  <si>
    <t>The term autonomy […] is nowadays often equated with an individual’s maximum freedom of decision and action.</t>
  </si>
  <si>
    <t>Care is given and decisions and responsibility are taken on behalf of the other – the one in need – to the extent that that person is no longer able to do these things themselves [...].</t>
  </si>
  <si>
    <t>Caregiver</t>
  </si>
  <si>
    <t>Nursing Home</t>
  </si>
  <si>
    <t>Health Insurance</t>
  </si>
  <si>
    <t>ILA Startup</t>
  </si>
  <si>
    <t>Society</t>
  </si>
  <si>
    <t xml:space="preserve">Fairness means that the same standards are applied to everyone, and that ressources are provided according to degree of neediness. </t>
  </si>
  <si>
    <t>Participation […] means providing people with access, rights, services, and assets that enable them to live together with other people in society.</t>
  </si>
  <si>
    <t>Letter</t>
  </si>
  <si>
    <t>Meaning</t>
  </si>
  <si>
    <t>Dimension</t>
  </si>
  <si>
    <t>I, S</t>
  </si>
  <si>
    <t>O, S</t>
  </si>
  <si>
    <t>I, O, S</t>
  </si>
  <si>
    <t xml:space="preserve">Profitability means an organisation's ability to fund its operations and strategic development out of its revenues. </t>
  </si>
  <si>
    <t>Person Suffering From Dementia</t>
  </si>
  <si>
    <t>System might affect …</t>
  </si>
  <si>
    <t>Type</t>
  </si>
  <si>
    <t>Person suffering from dementia lives in his/her own appartment or house</t>
  </si>
  <si>
    <t>Person suffering from dementia lives in in a nursing home</t>
  </si>
  <si>
    <t>Contact Person</t>
  </si>
  <si>
    <t>Closeness Of Contact Person</t>
  </si>
  <si>
    <t>One main contact person living in same household or nearby, frequently available, and capable of helping</t>
  </si>
  <si>
    <t>Several contact persons, not all living nearby, not all frequently available</t>
  </si>
  <si>
    <t xml:space="preserve">Legal Status </t>
  </si>
  <si>
    <t xml:space="preserve">Place Of Residence </t>
  </si>
  <si>
    <t>Person suffering from dementia is still legally competent to sign any documents</t>
  </si>
  <si>
    <t>Person suffering from dementia is under guardianship</t>
  </si>
  <si>
    <t>for the following reason (in the best case for positive effects, in the worst case for negative effects) …</t>
  </si>
  <si>
    <t>If ILA is implemented improperly, a contact person or an unauthorized 3rd party could track the movements of the person suffering from dementia.</t>
  </si>
  <si>
    <t xml:space="preserve">Every time ILA produces "false alerts", the person suffering from dementia will feel checked on, or micro-managed (because a contact persons appears offering help that the person does not need in this moment). In the worst case, ILA might be perceived as a system that allows an external person to control one's movements. </t>
  </si>
  <si>
    <t>In the best case scenario, ILA might give a contact person some "peace of mind" with regard to the well-being of a related person suffering from dementia. ILA might help the contact person to better handle a great responsibility.</t>
  </si>
  <si>
    <t xml:space="preserve">The constant risk of being alerted might severely impact the contact person's freedom to plan her own time. This effect would get worse if ILA produces many false alerts. </t>
  </si>
  <si>
    <t>S-2.2</t>
  </si>
  <si>
    <t>S-1.2</t>
  </si>
  <si>
    <t>If there are several contact persons sharing the responsibility, in the worst case one contact might have to handle a lot more load than others.</t>
  </si>
  <si>
    <t xml:space="preserve">If ILA produces many false alerts, the frequent calls for support might cause considerable effort for the contact person. </t>
  </si>
  <si>
    <t xml:space="preserve">If ILA fulfills its promises, there will be less situations where a caregiver feels she should prevent a patient with dementia from going outside (for safety reasons, and with subtle means, as this is officially illegal). </t>
  </si>
  <si>
    <t xml:space="preserve">Administration of ILA (handling of GPS sensor, battery monitoring and change, administration of data, …) might require some effort from the contact person. </t>
  </si>
  <si>
    <t>Nursing  Home Management</t>
  </si>
  <si>
    <t>Does the system save effort (time, money, responsibilities, …), or does it require additional resources for its operation (compared to a situation without the system)?</t>
  </si>
  <si>
    <t>Liability</t>
  </si>
  <si>
    <t xml:space="preserve">In the best case scenario, with the help of ILA there might be less situations where an inhabitant of the nursing home goes missing, and the police needs to be notified. </t>
  </si>
  <si>
    <t>If the nursing home is in any way (co-)responsible for the introduction and use of ILA, any failure might backfire and cast a bad light on the management.</t>
  </si>
  <si>
    <t>Administration of ILA (handling of GPS sensor, battery monitoring and change, administration of data, …) might require some effort from the nursing home management, if the operation of ILA is in their hands.</t>
  </si>
  <si>
    <t>Scen1</t>
  </si>
  <si>
    <t>Scen2</t>
  </si>
  <si>
    <t>S-4.3</t>
  </si>
  <si>
    <t>S-4.2</t>
  </si>
  <si>
    <t>Opportunity describes an organisation's ability and position to drive innovation, expand its market share, improve customer loyalty, or pursue any other strategic goals.</t>
  </si>
  <si>
    <t>If the registration process for ILA requires the person suffering from dementia to go to unusual places (e.g. the nursing home management office), this process might be perceived as uncomfortable. If the person is confused, she might e.g. think that she has done something wrong, and is about to be "punished".</t>
  </si>
  <si>
    <t xml:space="preserve">In case ILA is a service covered by health insurance, then there is a risk of unfair treatment of patients with regard to who is entitled to it. </t>
  </si>
  <si>
    <t>If ILA is offered as an innovative health insurance service, the insurance's reputation is at stake in case something goes wrong.</t>
  </si>
  <si>
    <t>In the best possible case, ILA will contribute to persons suffering from dementia living longer in their own home, thus saving cost for the health insurance.</t>
  </si>
  <si>
    <t>If ILA is sucessful, the insurance's reputation may benefit for offering such an innovative service.</t>
  </si>
  <si>
    <t>ILA Operation</t>
  </si>
  <si>
    <t>ILA Sponsorship</t>
  </si>
  <si>
    <t>ILA is paid for by the person suffering from dementia, or a relative</t>
  </si>
  <si>
    <t>ILA is paid for by the health insurance</t>
  </si>
  <si>
    <t>ILA is run as a stand-alone platform, administered by a contact person</t>
  </si>
  <si>
    <t>ILA operates as part of a home emergency call service</t>
  </si>
  <si>
    <t>ILA is run as a stand-alone platform, offered as a nursing home service and administed by the nursing home</t>
  </si>
  <si>
    <t>S-5.2</t>
  </si>
  <si>
    <t xml:space="preserve">The ILA provider will earn money with the product. </t>
  </si>
  <si>
    <t xml:space="preserve">The company behind ILA will run an existential risk in case anything goes wrong. </t>
  </si>
  <si>
    <t>Any privacy breach is a potential violation of GDPR laws.</t>
  </si>
  <si>
    <t xml:space="preserve">If there are data leaks in ILA, and personal data of health insurance customers get into the wrong hands, the health insurance might contributed to a GDPR laws violation. </t>
  </si>
  <si>
    <t xml:space="preserve">A B2B connection to ILA might cause severe technical efforts for the home emergency call system operator (APIs, connectivity functionality). </t>
  </si>
  <si>
    <t>The business model of the home emergency call system might have to be changed in order to work together with ILA (integration with the mobile emergency service).</t>
  </si>
  <si>
    <t>If ILA works as planned, a timely intervention may stop a challenging situation (say, a panic attack) into escalating into an actual emergency.</t>
  </si>
  <si>
    <t>Emergency Call System Operator</t>
  </si>
  <si>
    <t>If ILA operation is coupled to an emergency call system, there might be additional technical constraints on hardware and support model, affecting profitability.</t>
  </si>
  <si>
    <t>The interface between ILA and emergency call system operator might a risk for data leaks, if poorly implemented.</t>
  </si>
  <si>
    <t xml:space="preserve">ILA has the potential to generelly improve autonomy of persons suffering from dementia, if rolled out on a broad scale. </t>
  </si>
  <si>
    <t xml:space="preserve">ILA has the potential to generelly improve particicaption of persons suffering from dementia, if rolled out on a broad scale. </t>
  </si>
  <si>
    <t>If poorly implemented, ILA might contribute to a general loss of privacy by technical support solutions.</t>
  </si>
  <si>
    <t>ILA might be perceived as a value-adding feature to an early-adopting emergency call systems, improving its market position compared to competitors.</t>
  </si>
  <si>
    <t>Selling ILA as a value adding feature might generate an additional profit for the emergency call operator.</t>
  </si>
  <si>
    <t xml:space="preserve">The technical effort for connecting ILA might be more costly than the additional revenue. </t>
  </si>
  <si>
    <t>Requirement</t>
  </si>
  <si>
    <t>RQ</t>
  </si>
  <si>
    <t>In case ILA does not fulfill its promise to quickly provide support and help in a challenging situation, a person suffering from dementia may perceive this as a kind of betrayal - this way her subjective sense of safety might be severely impacted.</t>
  </si>
  <si>
    <t xml:space="preserve">ILA must provide training material (e.g. videos) in easy language, explaining the contact person's liability and the system's limitations. The documentation should recommend not to use the system if the contact person is ill or unavailable.   </t>
  </si>
  <si>
    <t>ILA must be able to automatically forward a distress call to an emergency call system.</t>
  </si>
  <si>
    <t xml:space="preserve">Safety primarily means protecting a person against harm. It includes also the subjective feeling of "being well protected". </t>
  </si>
  <si>
    <t>Stakeholder:</t>
  </si>
  <si>
    <t xml:space="preserve">Dimension: </t>
  </si>
  <si>
    <t>A person suffering from dementia can leave her living quarters with the assurance that she will be helped, in case she loses her way, or has a panic attack. In addition, caregivers or relatives have less incentives to keep the person from going out (for safety reasons, in a more or less subtle manner).</t>
  </si>
  <si>
    <t>Realization</t>
  </si>
  <si>
    <t>Potential</t>
  </si>
  <si>
    <t>Explanation</t>
  </si>
  <si>
    <t>This measure contributes to a major goal, but is not sufficient to realize it (on its own).</t>
  </si>
  <si>
    <t>Index</t>
  </si>
  <si>
    <t>This measure fully realizes a minor goal.</t>
  </si>
  <si>
    <t>This measure adresses a major risk, and makes it less severe.</t>
  </si>
  <si>
    <t>This measure fully solves a minor risk.</t>
  </si>
  <si>
    <t>This measure fully solves a major risk.</t>
  </si>
  <si>
    <t xml:space="preserve">This measure adresses a major risk, but it cannot mitigate it (on its own). </t>
  </si>
  <si>
    <t xml:space="preserve">This measure adresses a minor risk, but it cannot mitigate it (on its own). </t>
  </si>
  <si>
    <t>This measure contributes to a minor goal, but is not sufficient to realize it (on its own).</t>
  </si>
  <si>
    <t>This measure partially realizes a major goal.</t>
  </si>
  <si>
    <t>This measure fully realizes a major goal.</t>
  </si>
  <si>
    <t>This cannot happen.</t>
  </si>
  <si>
    <t>Realization Explanation</t>
  </si>
  <si>
    <t>RQ004</t>
  </si>
  <si>
    <t>Similar to the autonomy gain, the option to freely leave one's home makes it easier for the person suffering from dementia to participate in social events, without being accompanied by a relative or a caregiver.</t>
  </si>
  <si>
    <t>The person herself, and nearly all persons around her, notice a clear improvement in the person's physical or mental well-being, financial situation, or social context.</t>
  </si>
  <si>
    <t>The person herself, or some persons around her, notice a slight improvement on certain aspects of the person's physical or mental well-being, financial situation, or social context.</t>
  </si>
  <si>
    <t>The person herself, or some persons around her, notice slight risks for, or a slight degradation of, a person's well-being, financial situation, or social context.</t>
  </si>
  <si>
    <t>The person herself, and nearly all persons around her, notice strong risks for, or a clear degradation of, a person's well-being, financial situation, or social context.</t>
  </si>
  <si>
    <t>Individual stakeholders report a slight improvement in some organisational aspect (processes, workforce, finance, market situation, …). The effect is not necessarily noticed by everyone in the organisation, nor does it have to show clearly in the usual indicators.</t>
  </si>
  <si>
    <t>Some stakeholders of the organisation report some additional strain or risks (additional workload, costs, organisational hassle, market risks, financial risks, ...). The effect is not necessarily noticed by everyone in the organisation, nor does it have to show clearly in the usual indicators.</t>
  </si>
  <si>
    <t>Multiple stakeholders independently report substantial additional strain or risks (workload, costs, organisational hassle, market risks, financial risks, ...). The effect is noticed throughout the organisation, and can be clearly measured by indicators.</t>
  </si>
  <si>
    <t>Multiple stakeholders independently report a substantial  improvement in some organisational aspect (processes, workforce, finance, market situation, …). The effect can be clearly measured by the usual indicators.</t>
  </si>
  <si>
    <t>Members of the same societal group consistently report substantial improvements in some aspect. The effect can be clearly measured by indicators.</t>
  </si>
  <si>
    <t>Some members of a societal group report slight improvements in some aspect. The effect does not necessarily show up in any indicator.</t>
  </si>
  <si>
    <t>Some members of a societal group report additional strain or risks in some aspect. The effect does not necessarily show up in any indicator.</t>
  </si>
  <si>
    <t>Members of the same societal group consistently report substantial additional strain or risks in some aspect. The effect can be clearly measured by indicators.</t>
  </si>
  <si>
    <t>(1) Transparency: inform data subject about data use. (2) Purpose limitation / minimization: Store as few data as possible, and use it only for its dedicated purpose. (3) Integrity: prevent unauthorized access. (4) The right to be forgotten.</t>
  </si>
  <si>
    <t>Costs &amp; Benefits</t>
  </si>
  <si>
    <t xml:space="preserve">A persons' freedom to evaluate and perceive herself according to her own personal mental model. Strongly related is the perceived self-efficacy, the expectation to successfully carry out intended acts based on one's competences. </t>
  </si>
  <si>
    <t>Social Impact</t>
  </si>
  <si>
    <t>The information about the dementia illness might used improperly, e.g. for marketing purposes.</t>
  </si>
  <si>
    <t xml:space="preserve">If ILA is implemented improperly, personal information about a contact person could be leaked to a 3rd party, e.g. for marketing purposes. </t>
  </si>
  <si>
    <t>If the data is not deleted from ILA's data bases after termination of an ILA account, undesired effects (like false alerts) might occur.</t>
  </si>
  <si>
    <t>The idea that "my data is stored somewhere" might alienate the person suffering from dementia.</t>
  </si>
  <si>
    <t xml:space="preserve">If ILA is difficult to administrate, and/or is unreliable in execution, the contact person may get a feeling of "being too stupid to use the system properly". </t>
  </si>
  <si>
    <t>If ILA reliably informs about exceptional situations, it will effectively support the contact person to be a "guardian angel". In that case, the contact person can feel good about her own role.</t>
  </si>
  <si>
    <t>A caregiver may feel better about her own role, if she can allow to let a person suffering from dementia leave the nursing home at any time, with less worries about risks.</t>
  </si>
  <si>
    <t>A properly working ILA will allow the acting persons in nursing home management to provide "care" in the pure sense of the word, giving persons suffering from dementia more autononomy, and having to restrain their movements less frequently. 
will be more in sync with their</t>
  </si>
  <si>
    <t xml:space="preserve">The overall promise of a properly working ILA is supports a health insurance's self image as an "organisation intended to help by innovative means". </t>
  </si>
  <si>
    <t>Location with Alert Button</t>
  </si>
  <si>
    <t>Alert Button User</t>
  </si>
  <si>
    <t xml:space="preserve">If ILA requires the alarm button user to register in the system, she might worry what data is stored about her, and where. </t>
  </si>
  <si>
    <t>If the alert button user's data is not deleted from ILA's data bases after termination of an ILA account, undesired effects (like being contacted for no reason) might occur.</t>
  </si>
  <si>
    <t>If the contact person's data is not deleted from ILA's data bases after termination of an ILA account, undesired effects (like false alerts) might occur.</t>
  </si>
  <si>
    <t xml:space="preserve">If ILA is implemented improperly, personal information about an alert button user could be leaked to a 3rd party, e.g. for marketing purposes. </t>
  </si>
  <si>
    <t>An employee in a location with alert button might fear to have her actions tracked and judged - has she reacted properly if a person suffering from dementia has had a panic attack in her shop?</t>
  </si>
  <si>
    <t>An employee in a location may feel relieved that she an just hit the alert button if a person suffering from dementia has a panic attack in her shop. It saves her the troubles to call for help through other channels.</t>
  </si>
  <si>
    <t>A shop or a medical practice could perceive ILA as a way of "doing good".</t>
  </si>
  <si>
    <t>A shop or a medical practice might fear legal risks of an alert button - can the shop / practice be sued if the alert button is NOT hit in time?</t>
  </si>
  <si>
    <t>Administration of an alert button may cause additional efforts for the shop's / practice's organisation.</t>
  </si>
  <si>
    <t>The alert button(s) may cost money to purchase for the shop / practice.</t>
  </si>
  <si>
    <t>If ILA works well, an alert button may save money and efforts for the shop / practice in case of exceptional situations with customers suffering from dementia.</t>
  </si>
  <si>
    <t>The idea that "my data is stored somewhere" might be frightening for a contact person.</t>
  </si>
  <si>
    <t>If the nursing home manager's data is not deleted from ILA's data bases after termination of an ILA account, undesired effects (like false alerts) might occur.</t>
  </si>
  <si>
    <t>The idea that "my data is stored somewhere" might worry a nursing home manager.</t>
  </si>
  <si>
    <t>If the shop / practice's data is not deleted from ILA's data bases after termination of an ILA account, undesired effects (like false alerts) might occur.</t>
  </si>
  <si>
    <t>If ILA is implemented improperly, personal information about the shop / practice could be leaked to a 3rd party, e.g. for marketing purposes. This is an especially severe risk for medical practices, where information about patients is very sensitive.</t>
  </si>
  <si>
    <t>If ILA is implemented improperly, personal information about a someone from nursing home management could be leaked to a 3rd party, e.g. for marketing purposes. This is an severe risk for nursing home, where information about patients is very sensitive.</t>
  </si>
  <si>
    <t>Origin</t>
  </si>
  <si>
    <t>The idea that "my data is stored somewhere" might cause worry for a shop or practice, esp. if it deals with sensitive personal information (e.g. a doctor's practice).</t>
  </si>
  <si>
    <t>Nr.</t>
  </si>
  <si>
    <t>Description</t>
  </si>
  <si>
    <t>I =</t>
  </si>
  <si>
    <t>individual level</t>
  </si>
  <si>
    <t>O =</t>
  </si>
  <si>
    <t>S =</t>
  </si>
  <si>
    <t>societal level</t>
  </si>
  <si>
    <t>organisational level</t>
  </si>
  <si>
    <t># Goals/Risks</t>
  </si>
  <si>
    <t>Summe</t>
  </si>
  <si>
    <t>Team 1</t>
  </si>
  <si>
    <t>Team 2</t>
  </si>
  <si>
    <t>Team 3</t>
  </si>
  <si>
    <t>Team 4</t>
  </si>
  <si>
    <t>Registration</t>
  </si>
  <si>
    <t>Zone Alert System</t>
  </si>
  <si>
    <t>Broadcast System</t>
  </si>
  <si>
    <t>Alert Button</t>
  </si>
  <si>
    <t>Domains</t>
  </si>
  <si>
    <t>Domain</t>
  </si>
  <si>
    <t>Data Entity</t>
  </si>
  <si>
    <t>API</t>
  </si>
  <si>
    <t>UI</t>
  </si>
  <si>
    <t>Algorithm</t>
  </si>
  <si>
    <t>Process</t>
  </si>
  <si>
    <t>Documentation</t>
  </si>
  <si>
    <t>covered?</t>
  </si>
  <si>
    <t>Persistent domain entity (in the DDD sense), i.e. an important concept of the business domain with a persistance representation in some kind of database.</t>
  </si>
  <si>
    <t>Any kind of documented interface between software/hardware components, regardless of its technology or protocol.</t>
  </si>
  <si>
    <t xml:space="preserve">Any kind of human-computer interface, regardless of technology. Usually based on software (web UI, app, rich client, etc.), but also including hardware interfaces likes switches or buttons. </t>
  </si>
  <si>
    <t>A calculus to model a certain behaviour, or solve a problem. There is a grey area between an entity's business logic (belongs to Data Entity) and an Algorithm (which needs so much code that you would write a dedicated class or event service for it).</t>
  </si>
  <si>
    <t>A centrally orchestrated sequence of business events, implemented in whatever technology (BPMN, code, …). The process activities involve calls to Data Entities, APIs, or Algorithms.</t>
  </si>
  <si>
    <t>End user documentation of a software system, regardless of the media used for it (printed, online text, video, audio, …). Includes also dedicated training material.</t>
  </si>
  <si>
    <t>Component Type</t>
  </si>
  <si>
    <r>
      <t>Social Impact</t>
    </r>
    <r>
      <rPr>
        <i/>
        <sz val="11"/>
        <color theme="1"/>
        <rFont val="Calibri"/>
        <family val="2"/>
        <scheme val="minor"/>
      </rPr>
      <t xml:space="preserve"> (Source: MEESTAR)</t>
    </r>
  </si>
  <si>
    <t>RQ001</t>
  </si>
  <si>
    <t>RQ002</t>
  </si>
  <si>
    <t>RQ003</t>
  </si>
  <si>
    <t>** to be decided **</t>
  </si>
  <si>
    <t>Provide video in easy language about how the alert mechanism in ILA works, targeted at potential contact persons. The video should explain how much depends on the contact person's timely reaction.</t>
  </si>
  <si>
    <t xml:space="preserve">Provide video in easy language that explains the importance of contact persons' availability, in case there is more than one contact person. </t>
  </si>
  <si>
    <t xml:space="preserve">If there are multiple contact persons, each with limited availability: in that case, ILA's registration process for contact persons must be designed in a such a way that times where none of the contact persons is available, this is immediately visible and obvious. </t>
  </si>
  <si>
    <t>API Call</t>
  </si>
  <si>
    <t>Call of an external system in order to obtain additional functionality.</t>
  </si>
  <si>
    <t>There must be a synchronous call to the external API of an emergency call system (like by Malteser, Johanniter, DRK, …). All necessery data (patient identification and location) need to be transmitted as well.</t>
  </si>
  <si>
    <t>Create an algorithm that decides when none of the registered contact persons will react in time. If so, place the API call to the emergency call system. The algorithm needs to deal with situations like a contact person reacting later - what to do with the emergency system call in that case?</t>
  </si>
  <si>
    <t>Adresses</t>
  </si>
  <si>
    <t>ILA must provide introductory training material for caregivers and nursing home management, explaining recommendations for ILA registration and tracker use within these organisations.</t>
  </si>
  <si>
    <t>Provide video in easy language, targeted at caregivers in nursing homes, explaining how to avoid confusing situations (for the patients suffering from dementia) with the ILA registration process.</t>
  </si>
  <si>
    <t>Epic Text</t>
  </si>
  <si>
    <t>Epic Title</t>
  </si>
  <si>
    <t>Provide video in easy language, targeted at contact persons and caregivers in nursing homes, explaining how to deal with trackers implanted in the patients' shoes (maintenance etc.)</t>
  </si>
  <si>
    <t>Design a Contact Person Availability UI element in such a way that gaps in contact person availability are immediately obvious. E.g. use a timeline with coloured availability bars for different contact persons.</t>
  </si>
  <si>
    <t>Video on alert mechanism</t>
  </si>
  <si>
    <t>UI for contact person availability</t>
  </si>
  <si>
    <t>Video explaining need for timely intervention</t>
  </si>
  <si>
    <t>API call to external emergency call system</t>
  </si>
  <si>
    <t>Broadcast scheduling algorithm with call to emergency system</t>
  </si>
  <si>
    <t>Video on registration process in nursing homes</t>
  </si>
  <si>
    <t>Video on tracker maintenance</t>
  </si>
  <si>
    <t>Video on ILA benefits</t>
  </si>
  <si>
    <t xml:space="preserve">Create a video in easy language, describing the ILA benefits for persons suffering from dementia in terms of autonomy and participation. </t>
  </si>
  <si>
    <t>A Data Privacy failure in ILA might be a legal problem for the nursing home owner, if the nursing home is in any way (co-)responsible for the introduction and use of ILA.</t>
  </si>
  <si>
    <t xml:space="preserve">If ILA is successful, the startup behind ILA will be able to grow. </t>
  </si>
  <si>
    <t>RQ005</t>
  </si>
  <si>
    <t>The ILA Registration must be executed in an known environment, for example in the patients room a public room</t>
  </si>
  <si>
    <t>RQ006</t>
  </si>
  <si>
    <t>S-1.1</t>
  </si>
  <si>
    <t>The ILA Registration must be executed at the patients hme</t>
  </si>
  <si>
    <t>RQ007</t>
  </si>
  <si>
    <t>ILA must be implemented in such a way that it reduces the number of false alarms, and the posibility to cancel triggered alarms</t>
  </si>
  <si>
    <t>RQ008</t>
  </si>
  <si>
    <t>The Access to the Data needs to be restricted</t>
  </si>
  <si>
    <t>RQ009</t>
  </si>
  <si>
    <t>RQ010</t>
  </si>
  <si>
    <t>ILA must implement the right to be forgotten</t>
  </si>
  <si>
    <t>RQ011</t>
  </si>
  <si>
    <t>ILA Must implement the possibility to gather Information about the usage, to help the caregiver to make informed decisions.</t>
  </si>
  <si>
    <t>RQ012</t>
  </si>
  <si>
    <t>The ILA Data needs to be used only for the required purpose, this purpose needs to be comunicated</t>
  </si>
  <si>
    <t>ILA must implement an intuituve User Interface</t>
  </si>
  <si>
    <t>RQ013</t>
  </si>
  <si>
    <t xml:space="preserve">ILA must provide training material and explanations </t>
  </si>
  <si>
    <t>R44</t>
  </si>
  <si>
    <t>G45</t>
  </si>
  <si>
    <t>R46</t>
  </si>
  <si>
    <t>G47</t>
  </si>
  <si>
    <t>G48</t>
  </si>
  <si>
    <t>R49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</si>
</sst>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
    <numFmt numFmtId="165" formatCode="\+0;\-0;&quot;&quot;"/>
  </numFmts>
  <fonts count="17">
    <font>
      <sz val="11"/>
      <color theme="1"/>
      <name val="Calibri"/>
      <family val="2"/>
      <scheme val="minor"/>
    </font>
    <font>
      <b/>
      <sz val="11"/>
      <color theme="1"/>
      <name val="Calibri"/>
      <family val="2"/>
      <scheme val="minor"/>
    </font>
    <font>
      <sz val="8"/>
      <color theme="1"/>
      <name val="Calibri"/>
      <family val="2"/>
      <scheme val="minor"/>
    </font>
    <font>
      <sz val="11"/>
      <color theme="0"/>
      <name val="Calibri"/>
      <family val="2"/>
      <scheme val="minor"/>
    </font>
    <font>
      <sz val="9"/>
      <color indexed="81"/>
      <name val="Segoe UI"/>
      <family val="2"/>
    </font>
    <font>
      <b/>
      <sz val="9"/>
      <color indexed="81"/>
      <name val="Segoe UI"/>
      <family val="2"/>
    </font>
    <font>
      <b/>
      <sz val="14"/>
      <color theme="8"/>
      <name val="Calibri"/>
      <family val="2"/>
      <scheme val="minor"/>
    </font>
    <font>
      <sz val="11"/>
      <color theme="0" tint="-0.14999847407452621"/>
      <name val="Calibri"/>
      <family val="2"/>
      <scheme val="minor"/>
    </font>
    <font>
      <sz val="11"/>
      <color rgb="FF000000"/>
      <name val="Calibri"/>
      <family val="2"/>
    </font>
    <font>
      <sz val="9"/>
      <color theme="1"/>
      <name val="Calibri"/>
      <family val="2"/>
      <scheme val="minor"/>
    </font>
    <font>
      <b/>
      <sz val="12"/>
      <color theme="1"/>
      <name val="Calibri"/>
      <family val="2"/>
      <scheme val="minor"/>
    </font>
    <font>
      <i/>
      <sz val="11"/>
      <color theme="1"/>
      <name val="Calibri"/>
      <family val="2"/>
      <scheme val="minor"/>
    </font>
    <font>
      <sz val="6"/>
      <color theme="1"/>
      <name val="Calibri"/>
      <family val="2"/>
      <scheme val="minor"/>
    </font>
    <font>
      <b/>
      <sz val="11"/>
      <color theme="0"/>
      <name val="Calibri"/>
      <family val="2"/>
      <scheme val="minor"/>
    </font>
    <font>
      <b/>
      <sz val="11"/>
      <name val="Calibri"/>
      <family val="2"/>
      <scheme val="minor"/>
    </font>
    <font>
      <sz val="10"/>
      <color rgb="FF000000"/>
      <name val="Tahoma"/>
      <family val="2"/>
    </font>
    <font>
      <sz val="9"/>
      <color rgb="FF000000"/>
      <name val="Segoe UI"/>
      <family val="2"/>
    </font>
  </fonts>
  <fills count="13">
    <fill>
      <patternFill patternType="none"/>
    </fill>
    <fill>
      <patternFill patternType="gray125"/>
    </fill>
    <fill>
      <patternFill patternType="solid">
        <fgColor theme="4" tint="0.79998168889431442"/>
        <bgColor indexed="64"/>
      </patternFill>
    </fill>
    <fill>
      <patternFill patternType="solid">
        <fgColor theme="7" tint="0.79998168889431442"/>
        <bgColor indexed="64"/>
      </patternFill>
    </fill>
    <fill>
      <patternFill patternType="solid">
        <fgColor rgb="FFFFFFCC"/>
        <bgColor indexed="64"/>
      </patternFill>
    </fill>
    <fill>
      <patternFill patternType="solid">
        <fgColor theme="0" tint="-0.14999847407452621"/>
        <bgColor indexed="64"/>
      </patternFill>
    </fill>
    <fill>
      <patternFill patternType="solid">
        <fgColor rgb="FFF8696B"/>
        <bgColor indexed="64"/>
      </patternFill>
    </fill>
    <fill>
      <patternFill patternType="solid">
        <fgColor theme="7" tint="0.39997558519241921"/>
        <bgColor indexed="64"/>
      </patternFill>
    </fill>
    <fill>
      <patternFill patternType="solid">
        <fgColor theme="1" tint="0.499984740745262"/>
        <bgColor indexed="64"/>
      </patternFill>
    </fill>
    <fill>
      <patternFill patternType="solid">
        <fgColor theme="4" tint="0.39997558519241921"/>
        <bgColor indexed="64"/>
      </patternFill>
    </fill>
    <fill>
      <patternFill patternType="solid">
        <fgColor theme="0"/>
        <bgColor indexed="64"/>
      </patternFill>
    </fill>
    <fill>
      <patternFill patternType="solid">
        <fgColor rgb="FFFBB3B5"/>
        <bgColor indexed="64"/>
      </patternFill>
    </fill>
    <fill>
      <patternFill patternType="solid">
        <fgColor rgb="FFBBE3C5"/>
        <bgColor indexed="64"/>
      </patternFill>
    </fill>
  </fills>
  <borders count="11">
    <border>
      <left/>
      <right/>
      <top/>
      <bottom/>
      <diagonal/>
    </border>
    <border>
      <left style="thin">
        <color indexed="64"/>
      </left>
      <right/>
      <top/>
      <bottom/>
      <diagonal/>
    </border>
    <border>
      <left/>
      <right/>
      <top/>
      <bottom style="double">
        <color indexed="64"/>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style="double">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right/>
      <top/>
      <bottom style="medium">
        <color indexed="64"/>
      </bottom>
      <diagonal/>
    </border>
  </borders>
  <cellStyleXfs count="1">
    <xf numFmtId="0" fontId="0" fillId="0" borderId="0"/>
  </cellStyleXfs>
  <cellXfs count="81">
    <xf numFmtId="0" fontId="0" fillId="0" borderId="0" xfId="0"/>
    <xf numFmtId="0" fontId="0" fillId="0" borderId="0" xfId="0" applyAlignment="1">
      <alignment vertical="center" wrapText="1"/>
    </xf>
    <xf numFmtId="0" fontId="1" fillId="0" borderId="2" xfId="0" applyFont="1" applyBorder="1" applyAlignment="1">
      <alignment vertical="center" wrapText="1"/>
    </xf>
    <xf numFmtId="0" fontId="0" fillId="0" borderId="0" xfId="0" applyBorder="1" applyAlignment="1">
      <alignment horizontal="center" vertical="center" wrapText="1"/>
    </xf>
    <xf numFmtId="0" fontId="3" fillId="0" borderId="0" xfId="0" applyFont="1"/>
    <xf numFmtId="0" fontId="1" fillId="0" borderId="0" xfId="0" applyFont="1"/>
    <xf numFmtId="0" fontId="0" fillId="0" borderId="0" xfId="0" applyAlignment="1">
      <alignment horizontal="center" vertical="center"/>
    </xf>
    <xf numFmtId="0" fontId="3" fillId="0" borderId="0" xfId="0" applyFont="1" applyAlignment="1">
      <alignment horizontal="center" vertical="center"/>
    </xf>
    <xf numFmtId="0" fontId="0" fillId="0" borderId="0" xfId="0" applyNumberFormat="1" applyAlignment="1">
      <alignment vertical="center" wrapText="1"/>
    </xf>
    <xf numFmtId="0" fontId="0" fillId="0" borderId="0" xfId="0" applyNumberFormat="1" applyAlignment="1">
      <alignment horizontal="center" vertical="center" wrapText="1"/>
    </xf>
    <xf numFmtId="0" fontId="0" fillId="0" borderId="0" xfId="0" applyAlignment="1">
      <alignment horizontal="center" vertical="center" wrapText="1"/>
    </xf>
    <xf numFmtId="0" fontId="0" fillId="0" borderId="0" xfId="0" applyFont="1" applyAlignment="1">
      <alignment vertical="center" wrapText="1"/>
    </xf>
    <xf numFmtId="0" fontId="1" fillId="0" borderId="4" xfId="0" applyFont="1" applyBorder="1" applyAlignment="1">
      <alignment vertical="center" wrapText="1"/>
    </xf>
    <xf numFmtId="164" fontId="0" fillId="0" borderId="0" xfId="0" applyNumberFormat="1" applyAlignment="1">
      <alignment horizontal="center" vertical="center" wrapText="1"/>
    </xf>
    <xf numFmtId="0" fontId="1" fillId="0" borderId="2" xfId="0" applyFont="1" applyBorder="1" applyAlignment="1">
      <alignment horizontal="center" vertical="center" wrapText="1"/>
    </xf>
    <xf numFmtId="0" fontId="0" fillId="0" borderId="0" xfId="0" applyFill="1" applyAlignment="1">
      <alignment vertical="center" wrapText="1"/>
    </xf>
    <xf numFmtId="0" fontId="0" fillId="0" borderId="0" xfId="0" applyFont="1" applyFill="1" applyAlignment="1">
      <alignment vertical="center" wrapText="1"/>
    </xf>
    <xf numFmtId="0" fontId="2" fillId="0" borderId="0" xfId="0" applyFont="1" applyBorder="1" applyAlignment="1">
      <alignment vertical="center" wrapText="1"/>
    </xf>
    <xf numFmtId="165" fontId="0" fillId="0" borderId="5" xfId="0" applyNumberFormat="1" applyBorder="1" applyAlignment="1">
      <alignment horizontal="center" vertical="center" wrapText="1"/>
    </xf>
    <xf numFmtId="165" fontId="0" fillId="0" borderId="0" xfId="0" applyNumberFormat="1" applyAlignment="1">
      <alignment horizontal="center" vertical="center" wrapText="1"/>
    </xf>
    <xf numFmtId="165" fontId="0" fillId="0" borderId="1" xfId="0" applyNumberFormat="1" applyBorder="1" applyAlignment="1">
      <alignment horizontal="center" vertical="center" wrapText="1"/>
    </xf>
    <xf numFmtId="0" fontId="0" fillId="0" borderId="0" xfId="0" applyAlignment="1">
      <alignment vertical="center"/>
    </xf>
    <xf numFmtId="0" fontId="1" fillId="0" borderId="2" xfId="0" applyFont="1" applyBorder="1" applyAlignment="1">
      <alignment horizontal="center" vertical="center" wrapText="1"/>
    </xf>
    <xf numFmtId="0" fontId="0" fillId="5" borderId="0" xfId="0" applyFill="1" applyAlignment="1">
      <alignment vertical="center"/>
    </xf>
    <xf numFmtId="0" fontId="1" fillId="5" borderId="0" xfId="0" applyFont="1" applyFill="1" applyAlignment="1">
      <alignment vertical="center"/>
    </xf>
    <xf numFmtId="0" fontId="0" fillId="5" borderId="0" xfId="0" applyFill="1"/>
    <xf numFmtId="0" fontId="0" fillId="0" borderId="0" xfId="0" applyAlignment="1" applyProtection="1">
      <alignment vertical="center" wrapText="1"/>
      <protection locked="0"/>
    </xf>
    <xf numFmtId="0" fontId="1" fillId="0" borderId="0" xfId="0" applyFont="1" applyFill="1" applyAlignment="1">
      <alignment vertical="center" wrapText="1"/>
    </xf>
    <xf numFmtId="0" fontId="0" fillId="0" borderId="0" xfId="0" applyFill="1"/>
    <xf numFmtId="0" fontId="1" fillId="6" borderId="2" xfId="0" applyFont="1" applyFill="1" applyBorder="1" applyAlignment="1">
      <alignment horizontal="center" vertical="center"/>
    </xf>
    <xf numFmtId="0" fontId="1" fillId="0" borderId="0" xfId="0" applyFont="1" applyAlignment="1">
      <alignment vertical="center" wrapText="1"/>
    </xf>
    <xf numFmtId="0" fontId="1" fillId="0" borderId="0" xfId="0" applyFont="1" applyAlignment="1">
      <alignment horizontal="center" vertical="center" wrapText="1"/>
    </xf>
    <xf numFmtId="0" fontId="0" fillId="0" borderId="0" xfId="0" applyNumberFormat="1" applyFont="1" applyAlignment="1">
      <alignment vertical="center" wrapText="1"/>
    </xf>
    <xf numFmtId="0" fontId="0" fillId="0" borderId="0" xfId="0" quotePrefix="1" applyNumberFormat="1" applyFont="1" applyAlignment="1">
      <alignment vertical="center" wrapText="1"/>
    </xf>
    <xf numFmtId="164" fontId="10" fillId="0" borderId="0" xfId="0" applyNumberFormat="1" applyFont="1" applyAlignment="1">
      <alignment horizontal="center" vertical="center" wrapText="1"/>
    </xf>
    <xf numFmtId="0" fontId="0" fillId="0" borderId="0" xfId="0" applyFill="1" applyBorder="1" applyAlignment="1">
      <alignment horizontal="center" vertical="center" wrapText="1"/>
    </xf>
    <xf numFmtId="0" fontId="3" fillId="0" borderId="0" xfId="0" applyFont="1" applyAlignment="1">
      <alignment vertical="center" wrapText="1"/>
    </xf>
    <xf numFmtId="0" fontId="0" fillId="0" borderId="10" xfId="0" applyBorder="1"/>
    <xf numFmtId="0" fontId="11" fillId="5" borderId="0" xfId="0" applyFont="1" applyFill="1" applyBorder="1" applyAlignment="1">
      <alignment horizontal="right" vertical="center" wrapText="1"/>
    </xf>
    <xf numFmtId="0" fontId="11" fillId="5" borderId="0" xfId="0" applyFont="1" applyFill="1" applyAlignment="1">
      <alignment vertical="center" wrapText="1"/>
    </xf>
    <xf numFmtId="0" fontId="6" fillId="0" borderId="1" xfId="0" applyFont="1" applyBorder="1" applyAlignment="1">
      <alignment horizontal="center" vertical="center" wrapText="1"/>
    </xf>
    <xf numFmtId="0" fontId="1" fillId="0" borderId="0" xfId="0" applyFont="1" applyAlignment="1">
      <alignment horizontal="right" vertical="center" wrapText="1"/>
    </xf>
    <xf numFmtId="0" fontId="0" fillId="0" borderId="0" xfId="0" applyFill="1" applyAlignment="1">
      <alignment horizontal="center" vertical="center" wrapText="1"/>
    </xf>
    <xf numFmtId="0" fontId="3" fillId="8" borderId="0" xfId="0" applyFont="1" applyFill="1" applyAlignment="1">
      <alignment vertical="center" wrapText="1"/>
    </xf>
    <xf numFmtId="0" fontId="3" fillId="8" borderId="0" xfId="0" applyFont="1" applyFill="1" applyAlignment="1">
      <alignment horizontal="center" vertical="center" wrapText="1"/>
    </xf>
    <xf numFmtId="0" fontId="13" fillId="8" borderId="0" xfId="0" applyFont="1" applyFill="1" applyAlignment="1">
      <alignment horizontal="center" vertical="center" wrapText="1"/>
    </xf>
    <xf numFmtId="0" fontId="13" fillId="8" borderId="0" xfId="0" applyFont="1" applyFill="1" applyAlignment="1">
      <alignment wrapText="1"/>
    </xf>
    <xf numFmtId="0" fontId="13" fillId="8" borderId="0" xfId="0" applyFont="1" applyFill="1" applyAlignment="1">
      <alignment horizontal="center" wrapText="1"/>
    </xf>
    <xf numFmtId="0" fontId="0" fillId="0" borderId="2" xfId="0" applyBorder="1" applyAlignment="1">
      <alignment vertical="center" wrapText="1"/>
    </xf>
    <xf numFmtId="0" fontId="0" fillId="0" borderId="2" xfId="0" applyBorder="1" applyAlignment="1">
      <alignment horizontal="center" vertical="center" wrapText="1"/>
    </xf>
    <xf numFmtId="0" fontId="13" fillId="8" borderId="2" xfId="0" applyNumberFormat="1" applyFont="1" applyFill="1" applyBorder="1" applyAlignment="1">
      <alignment horizontal="center" vertical="center" wrapText="1"/>
    </xf>
    <xf numFmtId="0" fontId="13" fillId="8" borderId="3" xfId="0" applyNumberFormat="1" applyFont="1" applyFill="1" applyBorder="1" applyAlignment="1">
      <alignment vertical="center" wrapText="1"/>
    </xf>
    <xf numFmtId="0" fontId="13" fillId="8" borderId="2" xfId="0" applyNumberFormat="1" applyFont="1" applyFill="1" applyBorder="1" applyAlignment="1">
      <alignment vertical="center" wrapText="1"/>
    </xf>
    <xf numFmtId="0" fontId="13" fillId="8" borderId="2" xfId="0" applyFont="1" applyFill="1" applyBorder="1" applyAlignment="1">
      <alignment vertical="top" wrapText="1"/>
    </xf>
    <xf numFmtId="0" fontId="13" fillId="8" borderId="2" xfId="0" applyFont="1" applyFill="1" applyBorder="1" applyAlignment="1">
      <alignment horizontal="center" vertical="top" wrapText="1"/>
    </xf>
    <xf numFmtId="0" fontId="1" fillId="2" borderId="0" xfId="0" applyFont="1" applyFill="1" applyBorder="1" applyAlignment="1">
      <alignment vertical="center" wrapText="1"/>
    </xf>
    <xf numFmtId="0" fontId="1" fillId="3" borderId="0" xfId="0" applyFont="1" applyFill="1" applyBorder="1" applyAlignment="1">
      <alignment vertical="center" wrapText="1"/>
    </xf>
    <xf numFmtId="0" fontId="13" fillId="8" borderId="0" xfId="0" applyFont="1" applyFill="1" applyAlignment="1">
      <alignment vertical="center" wrapText="1"/>
    </xf>
    <xf numFmtId="0" fontId="0" fillId="10" borderId="0" xfId="0" applyFill="1" applyAlignment="1">
      <alignment horizontal="center" vertical="center" wrapText="1"/>
    </xf>
    <xf numFmtId="0" fontId="0" fillId="10" borderId="0" xfId="0" applyFill="1" applyAlignment="1">
      <alignment vertical="center" wrapText="1"/>
    </xf>
    <xf numFmtId="0" fontId="0" fillId="10" borderId="0" xfId="0" applyFill="1" applyAlignment="1">
      <alignment vertical="center"/>
    </xf>
    <xf numFmtId="0" fontId="0" fillId="10" borderId="0" xfId="0" applyFill="1" applyAlignment="1">
      <alignment horizontal="center" vertical="center"/>
    </xf>
    <xf numFmtId="0" fontId="7" fillId="10" borderId="0" xfId="0" applyFont="1" applyFill="1" applyAlignment="1">
      <alignment horizontal="center" vertical="center"/>
    </xf>
    <xf numFmtId="0" fontId="12" fillId="10" borderId="0" xfId="0" applyFont="1" applyFill="1" applyAlignment="1">
      <alignment horizontal="center" vertical="center"/>
    </xf>
    <xf numFmtId="0" fontId="14" fillId="9" borderId="9" xfId="0" applyFont="1" applyFill="1" applyBorder="1" applyAlignment="1">
      <alignment horizontal="center" vertical="center" wrapText="1"/>
    </xf>
    <xf numFmtId="0" fontId="14" fillId="7" borderId="0"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3" borderId="4"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9" fillId="4" borderId="6" xfId="0" applyFont="1" applyFill="1" applyBorder="1" applyAlignment="1" applyProtection="1">
      <alignment horizontal="left" vertical="center"/>
      <protection locked="0"/>
    </xf>
    <xf numFmtId="0" fontId="9" fillId="4" borderId="7" xfId="0" applyFont="1" applyFill="1" applyBorder="1" applyAlignment="1" applyProtection="1">
      <alignment horizontal="left" vertical="center"/>
      <protection locked="0"/>
    </xf>
    <xf numFmtId="0" fontId="9" fillId="4" borderId="8" xfId="0" applyFont="1" applyFill="1" applyBorder="1" applyAlignment="1" applyProtection="1">
      <alignment horizontal="left" vertical="center"/>
      <protection locked="0"/>
    </xf>
    <xf numFmtId="0" fontId="1" fillId="9" borderId="5" xfId="0" applyFont="1" applyFill="1" applyBorder="1" applyAlignment="1">
      <alignment horizontal="left" vertical="center" wrapText="1"/>
    </xf>
    <xf numFmtId="0" fontId="1" fillId="9" borderId="1" xfId="0" applyFont="1" applyFill="1" applyBorder="1" applyAlignment="1">
      <alignment horizontal="left" vertical="center" wrapText="1"/>
    </xf>
    <xf numFmtId="0" fontId="1" fillId="7" borderId="1" xfId="0" applyFont="1" applyFill="1" applyBorder="1" applyAlignment="1">
      <alignment horizontal="left" vertical="center" wrapText="1"/>
    </xf>
    <xf numFmtId="0" fontId="6" fillId="0" borderId="0" xfId="0" applyFont="1" applyAlignment="1">
      <alignment horizontal="center" vertical="center" wrapText="1"/>
    </xf>
    <xf numFmtId="0" fontId="6" fillId="0" borderId="1" xfId="0" applyFont="1" applyBorder="1" applyAlignment="1">
      <alignment horizontal="center" vertical="center" wrapText="1"/>
    </xf>
    <xf numFmtId="0" fontId="6" fillId="0" borderId="0" xfId="0" applyFont="1" applyBorder="1" applyAlignment="1">
      <alignment horizontal="center" vertical="center" wrapText="1"/>
    </xf>
    <xf numFmtId="0" fontId="1" fillId="12" borderId="2" xfId="0" applyFont="1" applyFill="1" applyBorder="1" applyAlignment="1">
      <alignment horizontal="center" vertical="center"/>
    </xf>
    <xf numFmtId="0" fontId="1" fillId="11" borderId="2" xfId="0" applyFont="1" applyFill="1" applyBorder="1" applyAlignment="1">
      <alignment horizontal="center" vertical="center"/>
    </xf>
  </cellXfs>
  <cellStyles count="1">
    <cellStyle name="Standard" xfId="0" builtinId="0"/>
  </cellStyles>
  <dxfs count="25">
    <dxf>
      <fill>
        <patternFill>
          <bgColor theme="9" tint="0.79998168889431442"/>
        </patternFill>
      </fill>
    </dxf>
    <dxf>
      <fill>
        <patternFill>
          <bgColor rgb="FFFBB3B5"/>
        </patternFill>
      </fill>
    </dxf>
    <dxf>
      <fill>
        <patternFill>
          <bgColor rgb="FFF8696B"/>
        </patternFill>
      </fill>
    </dxf>
    <dxf>
      <font>
        <b/>
        <i val="0"/>
        <color theme="0"/>
      </font>
      <fill>
        <patternFill>
          <bgColor rgb="FFF41015"/>
        </patternFill>
      </fill>
    </dxf>
    <dxf>
      <fill>
        <patternFill>
          <bgColor rgb="FFBBE3C5"/>
        </patternFill>
      </fill>
    </dxf>
    <dxf>
      <fill>
        <patternFill>
          <bgColor rgb="FF63BE7B"/>
        </patternFill>
      </fill>
    </dxf>
    <dxf>
      <font>
        <b/>
        <i val="0"/>
        <color theme="0"/>
      </font>
      <fill>
        <patternFill>
          <bgColor rgb="FF2AA839"/>
        </patternFill>
      </fill>
    </dxf>
    <dxf>
      <fill>
        <patternFill>
          <bgColor rgb="FFFBB3B5"/>
        </patternFill>
      </fill>
    </dxf>
    <dxf>
      <fill>
        <patternFill>
          <bgColor rgb="FFF8696B"/>
        </patternFill>
      </fill>
    </dxf>
    <dxf>
      <font>
        <b/>
        <i val="0"/>
        <color theme="0"/>
      </font>
      <fill>
        <patternFill>
          <bgColor rgb="FFF41015"/>
        </patternFill>
      </fill>
    </dxf>
    <dxf>
      <fill>
        <patternFill>
          <bgColor rgb="FFBBE3C5"/>
        </patternFill>
      </fill>
    </dxf>
    <dxf>
      <fill>
        <patternFill>
          <bgColor rgb="FF63BE7B"/>
        </patternFill>
      </fill>
    </dxf>
    <dxf>
      <font>
        <b/>
        <i val="0"/>
        <color theme="0"/>
      </font>
      <fill>
        <patternFill>
          <bgColor rgb="FF2AA839"/>
        </patternFill>
      </fill>
    </dxf>
    <dxf>
      <fill>
        <patternFill>
          <bgColor rgb="FFFBB3B5"/>
        </patternFill>
      </fill>
    </dxf>
    <dxf>
      <fill>
        <patternFill>
          <bgColor rgb="FFF8696B"/>
        </patternFill>
      </fill>
    </dxf>
    <dxf>
      <font>
        <b/>
        <i val="0"/>
        <color theme="0"/>
      </font>
      <fill>
        <patternFill>
          <bgColor rgb="FFF41015"/>
        </patternFill>
      </fill>
    </dxf>
    <dxf>
      <fill>
        <patternFill>
          <bgColor rgb="FFBBE3C5"/>
        </patternFill>
      </fill>
    </dxf>
    <dxf>
      <fill>
        <patternFill>
          <bgColor rgb="FF63BE7B"/>
        </patternFill>
      </fill>
    </dxf>
    <dxf>
      <font>
        <b/>
        <i val="0"/>
        <color theme="0"/>
      </font>
      <fill>
        <patternFill>
          <bgColor rgb="FF2AA839"/>
        </patternFill>
      </fill>
    </dxf>
    <dxf>
      <fill>
        <patternFill>
          <bgColor rgb="FFFBB3B5"/>
        </patternFill>
      </fill>
    </dxf>
    <dxf>
      <fill>
        <patternFill>
          <bgColor rgb="FFF8696B"/>
        </patternFill>
      </fill>
    </dxf>
    <dxf>
      <font>
        <b/>
        <i val="0"/>
        <color theme="0"/>
      </font>
      <fill>
        <patternFill>
          <bgColor rgb="FFF41015"/>
        </patternFill>
      </fill>
    </dxf>
    <dxf>
      <fill>
        <patternFill>
          <bgColor rgb="FFBBE3C5"/>
        </patternFill>
      </fill>
    </dxf>
    <dxf>
      <fill>
        <patternFill>
          <bgColor rgb="FF63BE7B"/>
        </patternFill>
      </fill>
    </dxf>
    <dxf>
      <font>
        <b/>
        <i val="0"/>
        <color theme="0"/>
      </font>
      <fill>
        <patternFill>
          <bgColor rgb="FF2AA839"/>
        </patternFill>
      </fill>
    </dxf>
  </dxfs>
  <tableStyles count="0" defaultTableStyle="TableStyleMedium2" defaultPivotStyle="PivotStyleLight16"/>
  <colors>
    <mruColors>
      <color rgb="FFFFFFCC"/>
      <color rgb="FF2AA839"/>
      <color rgb="FF63BE7B"/>
      <color rgb="FFBBE3C5"/>
      <color rgb="FFF41015"/>
      <color rgb="FFF8696B"/>
      <color rgb="FFFBB3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1</xdr:row>
          <xdr:rowOff>101600</xdr:rowOff>
        </xdr:from>
        <xdr:to>
          <xdr:col>1</xdr:col>
          <xdr:colOff>1358900</xdr:colOff>
          <xdr:row>3</xdr:row>
          <xdr:rowOff>50800</xdr:rowOff>
        </xdr:to>
        <xdr:sp macro="" textlink="">
          <xdr:nvSpPr>
            <xdr:cNvPr id="10391" name="Button 151" hidden="1">
              <a:extLst>
                <a:ext uri="{63B3BB69-23CF-44E3-9099-C40C66FF867C}">
                  <a14:compatExt spid="_x0000_s10391"/>
                </a:ext>
                <a:ext uri="{FF2B5EF4-FFF2-40B4-BE49-F238E27FC236}">
                  <a16:creationId xmlns:a16="http://schemas.microsoft.com/office/drawing/2014/main" id="{00000000-0008-0000-0200-000097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Add Requirement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1536700</xdr:colOff>
          <xdr:row>1</xdr:row>
          <xdr:rowOff>114300</xdr:rowOff>
        </xdr:from>
        <xdr:to>
          <xdr:col>1</xdr:col>
          <xdr:colOff>3289300</xdr:colOff>
          <xdr:row>3</xdr:row>
          <xdr:rowOff>50800</xdr:rowOff>
        </xdr:to>
        <xdr:sp macro="" textlink="">
          <xdr:nvSpPr>
            <xdr:cNvPr id="10437" name="Button 197" hidden="1">
              <a:extLst>
                <a:ext uri="{63B3BB69-23CF-44E3-9099-C40C66FF867C}">
                  <a14:compatExt spid="_x0000_s10437"/>
                </a:ext>
                <a:ext uri="{FF2B5EF4-FFF2-40B4-BE49-F238E27FC236}">
                  <a16:creationId xmlns:a16="http://schemas.microsoft.com/office/drawing/2014/main" id="{00000000-0008-0000-0200-0000C5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Delete Last Requirement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X21"/>
  <sheetViews>
    <sheetView showZeros="0" tabSelected="1" zoomScaleNormal="100" workbookViewId="0">
      <pane xSplit="2" ySplit="2" topLeftCell="C3" activePane="bottomRight" state="frozen"/>
      <selection pane="topRight" activeCell="C1" sqref="C1"/>
      <selection pane="bottomLeft" activeCell="A3" sqref="A3"/>
      <selection pane="bottomRight" activeCell="H12" sqref="H12"/>
    </sheetView>
  </sheetViews>
  <sheetFormatPr baseColWidth="10" defaultColWidth="8.83203125" defaultRowHeight="15"/>
  <cols>
    <col min="1" max="1" width="34.33203125" style="1" customWidth="1"/>
    <col min="2" max="2" width="7" style="10" customWidth="1"/>
    <col min="3" max="4" width="6.5" style="3" customWidth="1"/>
    <col min="5" max="6" width="6.5" style="17" customWidth="1"/>
    <col min="7" max="8" width="6.5" style="3" customWidth="1"/>
    <col min="9" max="10" width="6.5" style="17" customWidth="1"/>
    <col min="11" max="12" width="6.5" style="3" customWidth="1"/>
    <col min="13" max="18" width="6.5" style="17" customWidth="1"/>
    <col min="19" max="22" width="6.5" style="3" customWidth="1"/>
    <col min="25" max="16384" width="8.83203125" style="1"/>
  </cols>
  <sheetData>
    <row r="1" spans="1:22">
      <c r="C1" s="64" t="s">
        <v>158</v>
      </c>
      <c r="D1" s="64"/>
      <c r="E1" s="64"/>
      <c r="F1" s="64"/>
      <c r="G1" s="64"/>
      <c r="H1" s="64"/>
      <c r="I1" s="64"/>
      <c r="J1" s="64"/>
      <c r="K1" s="64"/>
      <c r="L1" s="64"/>
      <c r="M1" s="64"/>
      <c r="N1" s="64"/>
      <c r="O1" s="64"/>
      <c r="P1" s="64"/>
      <c r="Q1" s="65" t="s">
        <v>156</v>
      </c>
      <c r="R1" s="65"/>
      <c r="S1" s="65"/>
      <c r="T1" s="65"/>
      <c r="U1" s="65"/>
      <c r="V1" s="65"/>
    </row>
    <row r="2" spans="1:22" ht="29.5" customHeight="1" thickBot="1">
      <c r="A2" s="2" t="s">
        <v>9</v>
      </c>
      <c r="B2" s="14" t="s">
        <v>10</v>
      </c>
      <c r="C2" s="66" t="s">
        <v>2</v>
      </c>
      <c r="D2" s="66"/>
      <c r="E2" s="67" t="s">
        <v>0</v>
      </c>
      <c r="F2" s="66"/>
      <c r="G2" s="67" t="s">
        <v>1</v>
      </c>
      <c r="H2" s="66"/>
      <c r="I2" s="67" t="s">
        <v>5</v>
      </c>
      <c r="J2" s="66"/>
      <c r="K2" s="67" t="s">
        <v>4</v>
      </c>
      <c r="L2" s="66"/>
      <c r="M2" s="67" t="s">
        <v>3</v>
      </c>
      <c r="N2" s="66"/>
      <c r="O2" s="67" t="s">
        <v>6</v>
      </c>
      <c r="P2" s="66"/>
      <c r="Q2" s="68" t="s">
        <v>78</v>
      </c>
      <c r="R2" s="69"/>
      <c r="S2" s="68" t="s">
        <v>7</v>
      </c>
      <c r="T2" s="69"/>
      <c r="U2" s="68" t="s">
        <v>8</v>
      </c>
      <c r="V2" s="69"/>
    </row>
    <row r="3" spans="1:22" ht="17" thickTop="1">
      <c r="A3" s="1" t="s">
        <v>52</v>
      </c>
      <c r="B3" s="3" t="s">
        <v>33</v>
      </c>
      <c r="C3" s="18">
        <f t="shared" ref="C3:C13" si="0">SUMIFS(GR_Degrees,GR_Affected_Stakeholders,$A3,GR_Dims_System_might_affect,C$2,GR_Degrees,"&lt;0")</f>
        <v>-2</v>
      </c>
      <c r="D3" s="19">
        <f t="shared" ref="D3:D13" si="1">SUMIFS(GR_Degrees,GR_Affected_Stakeholders,$A3,GR_Dims_System_might_affect,C$2,GR_Degrees,"&gt;0")</f>
        <v>1</v>
      </c>
      <c r="E3" s="18">
        <f t="shared" ref="E3:E13" si="2">SUMIFS(GR_Degrees,GR_Affected_Stakeholders,$A3,GR_Dims_System_might_affect,E$2,GR_Degrees,"&lt;0")</f>
        <v>-1</v>
      </c>
      <c r="F3" s="19">
        <f t="shared" ref="F3:F13" si="3">SUMIFS(GR_Degrees,GR_Affected_Stakeholders,$A3,GR_Dims_System_might_affect,E$2,GR_Degrees,"&gt;0")</f>
        <v>0</v>
      </c>
      <c r="G3" s="18">
        <f t="shared" ref="G3:G13" si="4">SUMIFS(GR_Degrees,GR_Affected_Stakeholders,$A3,GR_Dims_System_might_affect,G$2,GR_Degrees,"&lt;0")</f>
        <v>-2</v>
      </c>
      <c r="H3" s="19">
        <f t="shared" ref="H3:H13" si="5">SUMIFS(GR_Degrees,GR_Affected_Stakeholders,$A3,GR_Dims_System_might_affect,G$2,GR_Degrees,"&gt;0")</f>
        <v>2</v>
      </c>
      <c r="I3" s="18">
        <f t="shared" ref="I3:I13" si="6">SUMIFS(GR_Degrees,GR_Affected_Stakeholders,$A3,GR_Dims_System_might_affect,I$2,GR_Degrees,"&lt;0")</f>
        <v>0</v>
      </c>
      <c r="J3" s="19">
        <f t="shared" ref="J3:J13" si="7">SUMIFS(GR_Degrees,GR_Affected_Stakeholders,$A3,GR_Dims_System_might_affect,I$2,GR_Degrees,"&gt;0")</f>
        <v>2</v>
      </c>
      <c r="K3" s="18">
        <f t="shared" ref="K3:K13" si="8">SUMIFS(GR_Degrees,GR_Affected_Stakeholders,$A3,GR_Dims_System_might_affect,K$2,GR_Degrees,"&lt;0")</f>
        <v>-4</v>
      </c>
      <c r="L3" s="19">
        <f t="shared" ref="L3:L13" si="9">SUMIFS(GR_Degrees,GR_Affected_Stakeholders,$A3,GR_Dims_System_might_affect,K$2,GR_Degrees,"&gt;0")</f>
        <v>0</v>
      </c>
      <c r="M3" s="18">
        <f t="shared" ref="M3:O13" si="10">SUMIFS(GR_Degrees,GR_Affected_Stakeholders,$A3,GR_Dims_System_might_affect,M$2,GR_Degrees,"&lt;0")</f>
        <v>0</v>
      </c>
      <c r="N3" s="19">
        <f t="shared" ref="N3:N13" si="11">SUMIFS(GR_Degrees,GR_Affected_Stakeholders,$A3,GR_Dims_System_might_affect,M$2,GR_Degrees,"&gt;0")</f>
        <v>0</v>
      </c>
      <c r="O3" s="18">
        <f t="shared" si="10"/>
        <v>0</v>
      </c>
      <c r="P3" s="19">
        <f t="shared" ref="P3:P13" si="12">SUMIFS(GR_Degrees,GR_Affected_Stakeholders,$A3,GR_Dims_System_might_affect,O$2,GR_Degrees,"&gt;0")</f>
        <v>0</v>
      </c>
      <c r="Q3" s="18">
        <f t="shared" ref="Q3:Q13" si="13">SUMIFS(GR_Degrees,GR_Affected_Stakeholders,$A3,GR_Dims_System_might_affect,Q$2,GR_Degrees,"&lt;0")</f>
        <v>0</v>
      </c>
      <c r="R3" s="19">
        <f t="shared" ref="R3:R13" si="14">SUMIFS(GR_Degrees,GR_Affected_Stakeholders,$A3,GR_Dims_System_might_affect,Q$2,GR_Degrees,"&gt;0")</f>
        <v>0</v>
      </c>
      <c r="S3" s="18">
        <f t="shared" ref="S3:S13" si="15">SUMIFS(GR_Degrees,GR_Affected_Stakeholders,$A3,GR_Dims_System_might_affect,S$2,GR_Degrees,"&lt;0")</f>
        <v>0</v>
      </c>
      <c r="T3" s="19">
        <f t="shared" ref="T3:T13" si="16">SUMIFS(GR_Degrees,GR_Affected_Stakeholders,$A3,GR_Dims_System_might_affect,S$2,GR_Degrees,"&gt;0")</f>
        <v>0</v>
      </c>
      <c r="U3" s="18">
        <f t="shared" ref="U3:U13" si="17">SUMIFS(GR_Degrees,GR_Affected_Stakeholders,$A3,GR_Dims_System_might_affect,U$2,GR_Degrees,"&lt;0")</f>
        <v>0</v>
      </c>
      <c r="V3" s="19">
        <f t="shared" ref="V3:V13" si="18">SUMIFS(GR_Degrees,GR_Affected_Stakeholders,$A3,GR_Dims_System_might_affect,U$2,GR_Degrees,"&gt;0")</f>
        <v>0</v>
      </c>
    </row>
    <row r="4" spans="1:22" ht="16">
      <c r="A4" s="1" t="s">
        <v>57</v>
      </c>
      <c r="B4" s="3" t="s">
        <v>33</v>
      </c>
      <c r="C4" s="20">
        <f t="shared" si="0"/>
        <v>0</v>
      </c>
      <c r="D4" s="19">
        <f t="shared" si="1"/>
        <v>0</v>
      </c>
      <c r="E4" s="20">
        <f t="shared" si="2"/>
        <v>0</v>
      </c>
      <c r="F4" s="19">
        <f t="shared" si="3"/>
        <v>0</v>
      </c>
      <c r="G4" s="20">
        <f t="shared" si="4"/>
        <v>-2</v>
      </c>
      <c r="H4" s="19">
        <f t="shared" si="5"/>
        <v>1</v>
      </c>
      <c r="I4" s="20">
        <f t="shared" si="6"/>
        <v>0</v>
      </c>
      <c r="J4" s="19">
        <f t="shared" si="7"/>
        <v>0</v>
      </c>
      <c r="K4" s="20">
        <f t="shared" si="8"/>
        <v>-3</v>
      </c>
      <c r="L4" s="19">
        <f t="shared" si="9"/>
        <v>0</v>
      </c>
      <c r="M4" s="20">
        <f t="shared" si="10"/>
        <v>-1</v>
      </c>
      <c r="N4" s="19">
        <f t="shared" si="11"/>
        <v>0</v>
      </c>
      <c r="O4" s="20">
        <f t="shared" si="10"/>
        <v>-1</v>
      </c>
      <c r="P4" s="19">
        <f t="shared" si="12"/>
        <v>2</v>
      </c>
      <c r="Q4" s="20">
        <f t="shared" si="13"/>
        <v>-3</v>
      </c>
      <c r="R4" s="19">
        <f t="shared" si="14"/>
        <v>0</v>
      </c>
      <c r="S4" s="20">
        <f t="shared" si="15"/>
        <v>0</v>
      </c>
      <c r="T4" s="19">
        <f t="shared" si="16"/>
        <v>0</v>
      </c>
      <c r="U4" s="20">
        <f t="shared" si="17"/>
        <v>0</v>
      </c>
      <c r="V4" s="19">
        <f t="shared" si="18"/>
        <v>0</v>
      </c>
    </row>
    <row r="5" spans="1:22" ht="16">
      <c r="A5" s="1" t="s">
        <v>169</v>
      </c>
      <c r="B5" s="3" t="s">
        <v>33</v>
      </c>
      <c r="C5" s="20">
        <f t="shared" si="0"/>
        <v>0</v>
      </c>
      <c r="D5" s="19">
        <f t="shared" ref="D5:D6" si="19">SUMIFS(GR_Degrees,GR_Affected_Stakeholders,$A5,GR_Dims_System_might_affect,C$2,GR_Degrees,"&gt;0")</f>
        <v>0</v>
      </c>
      <c r="E5" s="20">
        <f t="shared" si="2"/>
        <v>0</v>
      </c>
      <c r="F5" s="19">
        <f t="shared" ref="F5:F6" si="20">SUMIFS(GR_Degrees,GR_Affected_Stakeholders,$A5,GR_Dims_System_might_affect,E$2,GR_Degrees,"&gt;0")</f>
        <v>0</v>
      </c>
      <c r="G5" s="20">
        <f t="shared" si="4"/>
        <v>0</v>
      </c>
      <c r="H5" s="19">
        <f t="shared" ref="H5:H6" si="21">SUMIFS(GR_Degrees,GR_Affected_Stakeholders,$A5,GR_Dims_System_might_affect,G$2,GR_Degrees,"&gt;0")</f>
        <v>0</v>
      </c>
      <c r="I5" s="20">
        <f t="shared" si="6"/>
        <v>0</v>
      </c>
      <c r="J5" s="19">
        <f t="shared" ref="J5:J6" si="22">SUMIFS(GR_Degrees,GR_Affected_Stakeholders,$A5,GR_Dims_System_might_affect,I$2,GR_Degrees,"&gt;0")</f>
        <v>0</v>
      </c>
      <c r="K5" s="20">
        <f t="shared" si="8"/>
        <v>-3</v>
      </c>
      <c r="L5" s="19">
        <f t="shared" ref="L5:L6" si="23">SUMIFS(GR_Degrees,GR_Affected_Stakeholders,$A5,GR_Dims_System_might_affect,K$2,GR_Degrees,"&gt;0")</f>
        <v>0</v>
      </c>
      <c r="M5" s="20">
        <f t="shared" si="10"/>
        <v>0</v>
      </c>
      <c r="N5" s="19">
        <f t="shared" ref="N5:N6" si="24">SUMIFS(GR_Degrees,GR_Affected_Stakeholders,$A5,GR_Dims_System_might_affect,M$2,GR_Degrees,"&gt;0")</f>
        <v>0</v>
      </c>
      <c r="O5" s="20">
        <f t="shared" si="10"/>
        <v>0</v>
      </c>
      <c r="P5" s="19">
        <f t="shared" ref="P5:P6" si="25">SUMIFS(GR_Degrees,GR_Affected_Stakeholders,$A5,GR_Dims_System_might_affect,O$2,GR_Degrees,"&gt;0")</f>
        <v>0</v>
      </c>
      <c r="Q5" s="20">
        <f t="shared" si="13"/>
        <v>-2</v>
      </c>
      <c r="R5" s="19">
        <f t="shared" si="14"/>
        <v>1</v>
      </c>
      <c r="S5" s="20">
        <f t="shared" si="15"/>
        <v>0</v>
      </c>
      <c r="T5" s="19">
        <f t="shared" ref="T5:T6" si="26">SUMIFS(GR_Degrees,GR_Affected_Stakeholders,$A5,GR_Dims_System_might_affect,S$2,GR_Degrees,"&gt;0")</f>
        <v>0</v>
      </c>
      <c r="U5" s="20">
        <f t="shared" si="17"/>
        <v>0</v>
      </c>
      <c r="V5" s="19">
        <f t="shared" ref="V5:V6" si="27">SUMIFS(GR_Degrees,GR_Affected_Stakeholders,$A5,GR_Dims_System_might_affect,U$2,GR_Degrees,"&gt;0")</f>
        <v>0</v>
      </c>
    </row>
    <row r="6" spans="1:22" ht="16">
      <c r="A6" s="1" t="s">
        <v>168</v>
      </c>
      <c r="B6" s="3" t="s">
        <v>34</v>
      </c>
      <c r="C6" s="20">
        <f t="shared" si="0"/>
        <v>0</v>
      </c>
      <c r="D6" s="19">
        <f t="shared" si="19"/>
        <v>0</v>
      </c>
      <c r="E6" s="20">
        <f t="shared" si="2"/>
        <v>0</v>
      </c>
      <c r="F6" s="19">
        <f t="shared" si="20"/>
        <v>0</v>
      </c>
      <c r="G6" s="20">
        <f t="shared" si="4"/>
        <v>0</v>
      </c>
      <c r="H6" s="19">
        <f t="shared" si="21"/>
        <v>0</v>
      </c>
      <c r="I6" s="20">
        <f t="shared" si="6"/>
        <v>0</v>
      </c>
      <c r="J6" s="19">
        <f t="shared" si="22"/>
        <v>0</v>
      </c>
      <c r="K6" s="20">
        <f t="shared" si="8"/>
        <v>-6</v>
      </c>
      <c r="L6" s="19">
        <f t="shared" si="23"/>
        <v>0</v>
      </c>
      <c r="M6" s="20">
        <f t="shared" si="10"/>
        <v>0</v>
      </c>
      <c r="N6" s="19">
        <f t="shared" si="24"/>
        <v>0</v>
      </c>
      <c r="O6" s="20">
        <f t="shared" si="10"/>
        <v>0</v>
      </c>
      <c r="P6" s="19">
        <f t="shared" si="25"/>
        <v>1</v>
      </c>
      <c r="Q6" s="20">
        <f t="shared" si="13"/>
        <v>-2</v>
      </c>
      <c r="R6" s="19">
        <f t="shared" si="14"/>
        <v>0</v>
      </c>
      <c r="S6" s="20">
        <f t="shared" si="15"/>
        <v>-2</v>
      </c>
      <c r="T6" s="19">
        <f t="shared" si="26"/>
        <v>1</v>
      </c>
      <c r="U6" s="20">
        <f t="shared" si="17"/>
        <v>0</v>
      </c>
      <c r="V6" s="19">
        <f t="shared" si="27"/>
        <v>0</v>
      </c>
    </row>
    <row r="7" spans="1:22" ht="16">
      <c r="A7" s="1" t="s">
        <v>38</v>
      </c>
      <c r="B7" s="3" t="s">
        <v>33</v>
      </c>
      <c r="C7" s="20">
        <f t="shared" si="0"/>
        <v>0</v>
      </c>
      <c r="D7" s="19">
        <f t="shared" si="1"/>
        <v>0</v>
      </c>
      <c r="E7" s="20">
        <f t="shared" si="2"/>
        <v>0</v>
      </c>
      <c r="F7" s="19">
        <f t="shared" si="3"/>
        <v>0</v>
      </c>
      <c r="G7" s="20">
        <f t="shared" si="4"/>
        <v>0</v>
      </c>
      <c r="H7" s="19">
        <f t="shared" si="5"/>
        <v>0</v>
      </c>
      <c r="I7" s="20">
        <f t="shared" si="6"/>
        <v>0</v>
      </c>
      <c r="J7" s="19">
        <f t="shared" si="7"/>
        <v>0</v>
      </c>
      <c r="K7" s="20">
        <f t="shared" si="8"/>
        <v>0</v>
      </c>
      <c r="L7" s="19">
        <f t="shared" si="9"/>
        <v>0</v>
      </c>
      <c r="M7" s="20">
        <f t="shared" si="10"/>
        <v>0</v>
      </c>
      <c r="N7" s="19">
        <f t="shared" si="11"/>
        <v>0</v>
      </c>
      <c r="O7" s="20">
        <f t="shared" si="10"/>
        <v>0</v>
      </c>
      <c r="P7" s="19">
        <f t="shared" si="12"/>
        <v>1</v>
      </c>
      <c r="Q7" s="20">
        <f t="shared" si="13"/>
        <v>0</v>
      </c>
      <c r="R7" s="19">
        <f t="shared" si="14"/>
        <v>1</v>
      </c>
      <c r="S7" s="20">
        <f t="shared" si="15"/>
        <v>0</v>
      </c>
      <c r="T7" s="19">
        <f t="shared" si="16"/>
        <v>0</v>
      </c>
      <c r="U7" s="20">
        <f t="shared" si="17"/>
        <v>0</v>
      </c>
      <c r="V7" s="19">
        <f t="shared" si="18"/>
        <v>0</v>
      </c>
    </row>
    <row r="8" spans="1:22" ht="16">
      <c r="A8" s="1" t="s">
        <v>76</v>
      </c>
      <c r="B8" s="3" t="s">
        <v>33</v>
      </c>
      <c r="C8" s="20">
        <f t="shared" si="0"/>
        <v>0</v>
      </c>
      <c r="D8" s="19">
        <f t="shared" si="1"/>
        <v>0</v>
      </c>
      <c r="E8" s="20">
        <f t="shared" si="2"/>
        <v>0</v>
      </c>
      <c r="F8" s="19">
        <f t="shared" si="3"/>
        <v>0</v>
      </c>
      <c r="G8" s="20">
        <f t="shared" si="4"/>
        <v>0</v>
      </c>
      <c r="H8" s="19">
        <f t="shared" si="5"/>
        <v>0</v>
      </c>
      <c r="I8" s="20">
        <f t="shared" si="6"/>
        <v>0</v>
      </c>
      <c r="J8" s="19">
        <f t="shared" si="7"/>
        <v>0</v>
      </c>
      <c r="K8" s="20">
        <f t="shared" si="8"/>
        <v>-5</v>
      </c>
      <c r="L8" s="19">
        <f t="shared" si="9"/>
        <v>0</v>
      </c>
      <c r="M8" s="20">
        <f t="shared" si="10"/>
        <v>0</v>
      </c>
      <c r="N8" s="19">
        <f t="shared" si="11"/>
        <v>0</v>
      </c>
      <c r="O8" s="20">
        <f t="shared" si="10"/>
        <v>0</v>
      </c>
      <c r="P8" s="19">
        <f t="shared" si="12"/>
        <v>1</v>
      </c>
      <c r="Q8" s="20">
        <f t="shared" si="13"/>
        <v>-1</v>
      </c>
      <c r="R8" s="19">
        <f t="shared" si="14"/>
        <v>1</v>
      </c>
      <c r="S8" s="20">
        <f t="shared" si="15"/>
        <v>0</v>
      </c>
      <c r="T8" s="19">
        <f t="shared" si="16"/>
        <v>0</v>
      </c>
      <c r="U8" s="20">
        <f t="shared" si="17"/>
        <v>0</v>
      </c>
      <c r="V8" s="19">
        <f t="shared" si="18"/>
        <v>0</v>
      </c>
    </row>
    <row r="9" spans="1:22" ht="16">
      <c r="A9" s="1" t="s">
        <v>39</v>
      </c>
      <c r="B9" s="3" t="s">
        <v>34</v>
      </c>
      <c r="C9" s="20">
        <f t="shared" si="0"/>
        <v>0</v>
      </c>
      <c r="D9" s="19">
        <f t="shared" si="1"/>
        <v>0</v>
      </c>
      <c r="E9" s="20">
        <f t="shared" si="2"/>
        <v>0</v>
      </c>
      <c r="F9" s="19">
        <f t="shared" si="3"/>
        <v>0</v>
      </c>
      <c r="G9" s="20">
        <f t="shared" si="4"/>
        <v>0</v>
      </c>
      <c r="H9" s="19">
        <f t="shared" si="5"/>
        <v>0</v>
      </c>
      <c r="I9" s="20">
        <f t="shared" si="6"/>
        <v>0</v>
      </c>
      <c r="J9" s="19">
        <f t="shared" si="7"/>
        <v>0</v>
      </c>
      <c r="K9" s="20">
        <f t="shared" si="8"/>
        <v>-2</v>
      </c>
      <c r="L9" s="19">
        <f t="shared" si="9"/>
        <v>0</v>
      </c>
      <c r="M9" s="20">
        <f t="shared" si="10"/>
        <v>0</v>
      </c>
      <c r="N9" s="19">
        <f t="shared" si="11"/>
        <v>0</v>
      </c>
      <c r="O9" s="20">
        <f t="shared" si="10"/>
        <v>0</v>
      </c>
      <c r="P9" s="19">
        <f t="shared" si="12"/>
        <v>0</v>
      </c>
      <c r="Q9" s="20">
        <f t="shared" si="13"/>
        <v>-2</v>
      </c>
      <c r="R9" s="19">
        <f t="shared" si="14"/>
        <v>0</v>
      </c>
      <c r="S9" s="20">
        <f t="shared" si="15"/>
        <v>0</v>
      </c>
      <c r="T9" s="19">
        <f t="shared" si="16"/>
        <v>0</v>
      </c>
      <c r="U9" s="20">
        <f t="shared" si="17"/>
        <v>0</v>
      </c>
      <c r="V9" s="19">
        <f t="shared" si="18"/>
        <v>0</v>
      </c>
    </row>
    <row r="10" spans="1:22" ht="16">
      <c r="A10" s="1" t="s">
        <v>40</v>
      </c>
      <c r="B10" s="3" t="s">
        <v>34</v>
      </c>
      <c r="C10" s="20">
        <f t="shared" si="0"/>
        <v>0</v>
      </c>
      <c r="D10" s="19">
        <f t="shared" si="1"/>
        <v>0</v>
      </c>
      <c r="E10" s="20">
        <f t="shared" si="2"/>
        <v>0</v>
      </c>
      <c r="F10" s="19">
        <f t="shared" si="3"/>
        <v>0</v>
      </c>
      <c r="G10" s="20">
        <f t="shared" si="4"/>
        <v>0</v>
      </c>
      <c r="H10" s="19">
        <f t="shared" si="5"/>
        <v>0</v>
      </c>
      <c r="I10" s="20">
        <f t="shared" si="6"/>
        <v>0</v>
      </c>
      <c r="J10" s="19">
        <f t="shared" si="7"/>
        <v>0</v>
      </c>
      <c r="K10" s="20">
        <f t="shared" si="8"/>
        <v>-1</v>
      </c>
      <c r="L10" s="19">
        <f t="shared" si="9"/>
        <v>0</v>
      </c>
      <c r="M10" s="20">
        <f t="shared" si="10"/>
        <v>-1</v>
      </c>
      <c r="N10" s="19">
        <f t="shared" si="11"/>
        <v>0</v>
      </c>
      <c r="O10" s="20">
        <f t="shared" si="10"/>
        <v>0</v>
      </c>
      <c r="P10" s="19">
        <f t="shared" si="12"/>
        <v>1</v>
      </c>
      <c r="Q10" s="20">
        <f t="shared" si="13"/>
        <v>-2</v>
      </c>
      <c r="R10" s="19">
        <f t="shared" si="14"/>
        <v>0</v>
      </c>
      <c r="S10" s="20">
        <f t="shared" si="15"/>
        <v>0</v>
      </c>
      <c r="T10" s="19">
        <f t="shared" si="16"/>
        <v>1</v>
      </c>
      <c r="U10" s="20">
        <f t="shared" si="17"/>
        <v>0</v>
      </c>
      <c r="V10" s="19">
        <f t="shared" si="18"/>
        <v>1</v>
      </c>
    </row>
    <row r="11" spans="1:22" ht="16">
      <c r="A11" s="1" t="s">
        <v>41</v>
      </c>
      <c r="B11" s="3" t="s">
        <v>34</v>
      </c>
      <c r="C11" s="20">
        <f t="shared" si="0"/>
        <v>0</v>
      </c>
      <c r="D11" s="19">
        <f t="shared" si="1"/>
        <v>0</v>
      </c>
      <c r="E11" s="20">
        <f t="shared" si="2"/>
        <v>0</v>
      </c>
      <c r="F11" s="19">
        <f t="shared" si="3"/>
        <v>0</v>
      </c>
      <c r="G11" s="20">
        <f t="shared" si="4"/>
        <v>0</v>
      </c>
      <c r="H11" s="19">
        <f t="shared" si="5"/>
        <v>0</v>
      </c>
      <c r="I11" s="20">
        <f t="shared" si="6"/>
        <v>0</v>
      </c>
      <c r="J11" s="19">
        <f t="shared" si="7"/>
        <v>0</v>
      </c>
      <c r="K11" s="20">
        <f t="shared" si="8"/>
        <v>-2</v>
      </c>
      <c r="L11" s="19">
        <f t="shared" si="9"/>
        <v>0</v>
      </c>
      <c r="M11" s="20">
        <f t="shared" si="10"/>
        <v>0</v>
      </c>
      <c r="N11" s="19">
        <f t="shared" si="11"/>
        <v>0</v>
      </c>
      <c r="O11" s="20">
        <f t="shared" si="10"/>
        <v>0</v>
      </c>
      <c r="P11" s="19">
        <f t="shared" si="12"/>
        <v>0</v>
      </c>
      <c r="Q11" s="20">
        <f t="shared" si="13"/>
        <v>-2</v>
      </c>
      <c r="R11" s="19">
        <f t="shared" si="14"/>
        <v>0</v>
      </c>
      <c r="S11" s="20">
        <f t="shared" si="15"/>
        <v>-2</v>
      </c>
      <c r="T11" s="19">
        <f t="shared" si="16"/>
        <v>2</v>
      </c>
      <c r="U11" s="20">
        <f t="shared" si="17"/>
        <v>0</v>
      </c>
      <c r="V11" s="19">
        <f t="shared" si="18"/>
        <v>2</v>
      </c>
    </row>
    <row r="12" spans="1:22" ht="16">
      <c r="A12" s="1" t="s">
        <v>107</v>
      </c>
      <c r="B12" s="3" t="s">
        <v>34</v>
      </c>
      <c r="C12" s="20">
        <f t="shared" si="0"/>
        <v>0</v>
      </c>
      <c r="D12" s="19">
        <f t="shared" si="1"/>
        <v>0</v>
      </c>
      <c r="E12" s="20">
        <f t="shared" si="2"/>
        <v>0</v>
      </c>
      <c r="F12" s="19">
        <f t="shared" si="3"/>
        <v>0</v>
      </c>
      <c r="G12" s="20">
        <f t="shared" si="4"/>
        <v>0</v>
      </c>
      <c r="H12" s="19">
        <f t="shared" si="5"/>
        <v>0</v>
      </c>
      <c r="I12" s="20">
        <f t="shared" si="6"/>
        <v>0</v>
      </c>
      <c r="J12" s="19">
        <f t="shared" si="7"/>
        <v>0</v>
      </c>
      <c r="K12" s="20">
        <f t="shared" si="8"/>
        <v>-2</v>
      </c>
      <c r="L12" s="19">
        <f t="shared" si="9"/>
        <v>0</v>
      </c>
      <c r="M12" s="20">
        <f t="shared" si="10"/>
        <v>0</v>
      </c>
      <c r="N12" s="19">
        <f t="shared" si="11"/>
        <v>0</v>
      </c>
      <c r="O12" s="20">
        <f t="shared" si="10"/>
        <v>0</v>
      </c>
      <c r="P12" s="19">
        <f t="shared" si="12"/>
        <v>0</v>
      </c>
      <c r="Q12" s="20">
        <f t="shared" si="13"/>
        <v>-4</v>
      </c>
      <c r="R12" s="19">
        <f t="shared" si="14"/>
        <v>0</v>
      </c>
      <c r="S12" s="20">
        <f t="shared" si="15"/>
        <v>-1</v>
      </c>
      <c r="T12" s="19">
        <f t="shared" si="16"/>
        <v>1</v>
      </c>
      <c r="U12" s="20">
        <f t="shared" si="17"/>
        <v>0</v>
      </c>
      <c r="V12" s="19">
        <f t="shared" si="18"/>
        <v>2</v>
      </c>
    </row>
    <row r="13" spans="1:22" ht="16">
      <c r="A13" s="1" t="s">
        <v>42</v>
      </c>
      <c r="B13" s="3" t="s">
        <v>14</v>
      </c>
      <c r="C13" s="20">
        <f t="shared" si="0"/>
        <v>0</v>
      </c>
      <c r="D13" s="19">
        <f t="shared" si="1"/>
        <v>0</v>
      </c>
      <c r="E13" s="20">
        <f t="shared" si="2"/>
        <v>0</v>
      </c>
      <c r="F13" s="19">
        <f t="shared" si="3"/>
        <v>0</v>
      </c>
      <c r="G13" s="20">
        <f t="shared" si="4"/>
        <v>0</v>
      </c>
      <c r="H13" s="19">
        <f t="shared" si="5"/>
        <v>1</v>
      </c>
      <c r="I13" s="20">
        <f t="shared" si="6"/>
        <v>0</v>
      </c>
      <c r="J13" s="19">
        <f t="shared" si="7"/>
        <v>1</v>
      </c>
      <c r="K13" s="20">
        <f t="shared" si="8"/>
        <v>-1</v>
      </c>
      <c r="L13" s="19">
        <f t="shared" si="9"/>
        <v>0</v>
      </c>
      <c r="M13" s="20">
        <f t="shared" si="10"/>
        <v>0</v>
      </c>
      <c r="N13" s="19">
        <f t="shared" si="11"/>
        <v>0</v>
      </c>
      <c r="O13" s="20">
        <f t="shared" si="10"/>
        <v>0</v>
      </c>
      <c r="P13" s="19">
        <f t="shared" si="12"/>
        <v>0</v>
      </c>
      <c r="Q13" s="20">
        <f t="shared" si="13"/>
        <v>0</v>
      </c>
      <c r="R13" s="19">
        <f t="shared" si="14"/>
        <v>0</v>
      </c>
      <c r="S13" s="20">
        <f t="shared" si="15"/>
        <v>0</v>
      </c>
      <c r="T13" s="19">
        <f t="shared" si="16"/>
        <v>0</v>
      </c>
      <c r="U13" s="20">
        <f t="shared" si="17"/>
        <v>0</v>
      </c>
      <c r="V13" s="19">
        <f t="shared" si="18"/>
        <v>0</v>
      </c>
    </row>
    <row r="14" spans="1:22">
      <c r="B14" s="3"/>
      <c r="C14" s="13"/>
      <c r="D14" s="13"/>
      <c r="E14" s="13"/>
      <c r="F14" s="13"/>
      <c r="G14" s="13"/>
      <c r="H14" s="13"/>
      <c r="I14" s="13"/>
      <c r="J14" s="13"/>
      <c r="K14" s="13"/>
      <c r="L14" s="13"/>
      <c r="M14" s="13"/>
      <c r="N14" s="13"/>
      <c r="O14" s="13"/>
      <c r="P14" s="13"/>
      <c r="Q14" s="13"/>
      <c r="R14" s="13"/>
      <c r="S14" s="13"/>
      <c r="T14" s="13"/>
      <c r="U14" s="13"/>
      <c r="V14" s="13"/>
    </row>
    <row r="15" spans="1:22">
      <c r="B15" s="3"/>
      <c r="C15" s="13"/>
      <c r="D15" s="13"/>
      <c r="E15" s="13"/>
      <c r="F15" s="13"/>
      <c r="G15" s="13"/>
      <c r="H15" s="13"/>
      <c r="I15" s="13"/>
      <c r="J15" s="13"/>
      <c r="K15" s="13"/>
      <c r="L15" s="13"/>
      <c r="M15" s="13"/>
      <c r="N15" s="13"/>
      <c r="O15" s="13"/>
      <c r="P15" s="13"/>
      <c r="Q15" s="13"/>
      <c r="R15" s="13"/>
      <c r="S15" s="13"/>
      <c r="T15" s="13"/>
      <c r="U15" s="13"/>
      <c r="V15" s="13"/>
    </row>
    <row r="16" spans="1:22">
      <c r="B16" s="3"/>
      <c r="C16" s="13"/>
      <c r="D16" s="13"/>
      <c r="E16" s="13"/>
      <c r="F16" s="13"/>
      <c r="G16" s="13"/>
      <c r="H16" s="13"/>
      <c r="I16" s="13"/>
      <c r="J16" s="13"/>
      <c r="K16" s="13"/>
      <c r="L16" s="13"/>
      <c r="M16" s="13"/>
      <c r="N16" s="13"/>
      <c r="O16" s="13"/>
      <c r="P16" s="13"/>
      <c r="Q16" s="13"/>
      <c r="R16" s="13"/>
      <c r="S16" s="13"/>
      <c r="T16" s="13"/>
      <c r="U16" s="13"/>
      <c r="V16" s="13"/>
    </row>
    <row r="17" spans="2:22">
      <c r="B17" s="3"/>
      <c r="C17" s="13"/>
      <c r="D17" s="13"/>
      <c r="E17" s="13"/>
      <c r="F17" s="13"/>
      <c r="G17" s="13"/>
      <c r="H17" s="13"/>
      <c r="I17" s="13"/>
      <c r="J17" s="13"/>
      <c r="K17" s="13"/>
      <c r="L17" s="13"/>
      <c r="M17" s="13"/>
      <c r="N17" s="13"/>
      <c r="O17" s="13"/>
      <c r="P17" s="13"/>
      <c r="Q17" s="13"/>
      <c r="R17" s="13"/>
      <c r="S17" s="13"/>
      <c r="T17" s="13"/>
      <c r="U17" s="13"/>
      <c r="V17" s="13"/>
    </row>
    <row r="18" spans="2:22">
      <c r="B18" s="3"/>
      <c r="C18" s="13"/>
      <c r="D18" s="13"/>
      <c r="E18" s="13"/>
      <c r="F18" s="13"/>
      <c r="G18" s="13"/>
      <c r="H18" s="13"/>
      <c r="I18" s="13"/>
      <c r="J18" s="13"/>
      <c r="K18" s="13"/>
      <c r="L18" s="13"/>
      <c r="M18" s="13"/>
      <c r="N18" s="13"/>
      <c r="O18" s="13"/>
      <c r="P18" s="13"/>
      <c r="Q18" s="13"/>
      <c r="R18" s="13"/>
      <c r="S18" s="13"/>
      <c r="T18" s="13"/>
      <c r="U18" s="13"/>
      <c r="V18" s="13"/>
    </row>
    <row r="19" spans="2:22">
      <c r="B19" s="3"/>
      <c r="C19" s="13"/>
      <c r="D19" s="13"/>
      <c r="E19" s="13"/>
      <c r="F19" s="13"/>
      <c r="G19" s="13"/>
      <c r="H19" s="13"/>
      <c r="I19" s="13"/>
      <c r="J19" s="13"/>
      <c r="K19" s="13"/>
      <c r="L19" s="13"/>
      <c r="M19" s="13"/>
      <c r="N19" s="13"/>
      <c r="O19" s="13"/>
      <c r="P19" s="13"/>
      <c r="Q19" s="13"/>
      <c r="R19" s="13"/>
      <c r="S19" s="13"/>
      <c r="T19" s="13"/>
      <c r="U19" s="13"/>
      <c r="V19" s="13"/>
    </row>
    <row r="20" spans="2:22">
      <c r="B20" s="3"/>
    </row>
    <row r="21" spans="2:22">
      <c r="B21" s="3"/>
    </row>
  </sheetData>
  <sheetProtection formatColumns="0" formatRows="0"/>
  <mergeCells count="12">
    <mergeCell ref="C1:P1"/>
    <mergeCell ref="Q1:V1"/>
    <mergeCell ref="C2:D2"/>
    <mergeCell ref="E2:F2"/>
    <mergeCell ref="G2:H2"/>
    <mergeCell ref="I2:J2"/>
    <mergeCell ref="K2:L2"/>
    <mergeCell ref="M2:N2"/>
    <mergeCell ref="Q2:R2"/>
    <mergeCell ref="U2:V2"/>
    <mergeCell ref="S2:T2"/>
    <mergeCell ref="O2:P2"/>
  </mergeCells>
  <conditionalFormatting sqref="C3:N4 Q3:V4 Q7:V13 C7:N13">
    <cfRule type="cellIs" dxfId="24" priority="19" operator="greaterThan">
      <formula>2</formula>
    </cfRule>
    <cfRule type="cellIs" dxfId="23" priority="20" operator="equal">
      <formula>2</formula>
    </cfRule>
    <cfRule type="cellIs" dxfId="22" priority="21" operator="equal">
      <formula>1</formula>
    </cfRule>
    <cfRule type="cellIs" dxfId="21" priority="22" operator="lessThan">
      <formula>-2</formula>
    </cfRule>
    <cfRule type="cellIs" dxfId="20" priority="23" operator="equal">
      <formula>-2</formula>
    </cfRule>
    <cfRule type="cellIs" dxfId="19" priority="24" operator="equal">
      <formula>-1</formula>
    </cfRule>
  </conditionalFormatting>
  <conditionalFormatting sqref="O3:P4 O7:P13">
    <cfRule type="cellIs" dxfId="18" priority="13" operator="greaterThan">
      <formula>2</formula>
    </cfRule>
    <cfRule type="cellIs" dxfId="17" priority="14" operator="equal">
      <formula>2</formula>
    </cfRule>
    <cfRule type="cellIs" dxfId="16" priority="15" operator="equal">
      <formula>1</formula>
    </cfRule>
    <cfRule type="cellIs" dxfId="15" priority="16" operator="lessThan">
      <formula>-2</formula>
    </cfRule>
    <cfRule type="cellIs" dxfId="14" priority="17" operator="equal">
      <formula>-2</formula>
    </cfRule>
    <cfRule type="cellIs" dxfId="13" priority="18" operator="equal">
      <formula>-1</formula>
    </cfRule>
  </conditionalFormatting>
  <conditionalFormatting sqref="C5:N6 Q5:V6">
    <cfRule type="cellIs" dxfId="12" priority="7" operator="greaterThan">
      <formula>2</formula>
    </cfRule>
    <cfRule type="cellIs" dxfId="11" priority="8" operator="equal">
      <formula>2</formula>
    </cfRule>
    <cfRule type="cellIs" dxfId="10" priority="9" operator="equal">
      <formula>1</formula>
    </cfRule>
    <cfRule type="cellIs" dxfId="9" priority="10" operator="lessThan">
      <formula>-2</formula>
    </cfRule>
    <cfRule type="cellIs" dxfId="8" priority="11" operator="equal">
      <formula>-2</formula>
    </cfRule>
    <cfRule type="cellIs" dxfId="7" priority="12" operator="equal">
      <formula>-1</formula>
    </cfRule>
  </conditionalFormatting>
  <conditionalFormatting sqref="O5:P6">
    <cfRule type="cellIs" dxfId="6" priority="1" operator="greaterThan">
      <formula>2</formula>
    </cfRule>
    <cfRule type="cellIs" dxfId="5" priority="2" operator="equal">
      <formula>2</formula>
    </cfRule>
    <cfRule type="cellIs" dxfId="4" priority="3" operator="equal">
      <formula>1</formula>
    </cfRule>
    <cfRule type="cellIs" dxfId="3" priority="4" operator="lessThan">
      <formula>-2</formula>
    </cfRule>
    <cfRule type="cellIs" dxfId="2" priority="5" operator="equal">
      <formula>-2</formula>
    </cfRule>
    <cfRule type="cellIs" dxfId="1" priority="6" operator="equal">
      <formula>-1</formula>
    </cfRule>
  </conditionalFormatting>
  <pageMargins left="0.7" right="0.7" top="0.75" bottom="0.75" header="0.3" footer="0.3"/>
  <pageSetup paperSize="9" orientation="portrait" horizontalDpi="4294967293" verticalDpi="0" r:id="rId1"/>
  <ignoredErrors>
    <ignoredError sqref="D7:V13 D3:V4 D5:U6" formula="1"/>
  </ignoredErrors>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H159"/>
  <sheetViews>
    <sheetView zoomScaleNormal="100" workbookViewId="0">
      <pane xSplit="7" ySplit="1" topLeftCell="H2" activePane="bottomRight" state="frozen"/>
      <selection pane="topRight" activeCell="H1" sqref="H1"/>
      <selection pane="bottomLeft" activeCell="A2" sqref="A2"/>
      <selection pane="bottomRight" activeCell="H4" sqref="H4"/>
    </sheetView>
  </sheetViews>
  <sheetFormatPr baseColWidth="10" defaultColWidth="11.5" defaultRowHeight="15"/>
  <cols>
    <col min="1" max="1" width="6.33203125" style="1" customWidth="1"/>
    <col min="2" max="3" width="7.1640625" style="1" customWidth="1"/>
    <col min="4" max="4" width="6.6640625" style="1" customWidth="1"/>
    <col min="5" max="5" width="28.1640625" style="1" customWidth="1"/>
    <col min="6" max="6" width="19.83203125" style="1" customWidth="1"/>
    <col min="7" max="7" width="6.5" style="10" customWidth="1"/>
    <col min="8" max="8" width="109.5" style="1" customWidth="1"/>
    <col min="9" max="16384" width="11.5" style="1"/>
  </cols>
  <sheetData>
    <row r="1" spans="1:8" ht="30.5" customHeight="1" thickBot="1">
      <c r="A1" s="53" t="s">
        <v>30</v>
      </c>
      <c r="B1" s="53" t="s">
        <v>54</v>
      </c>
      <c r="C1" s="53" t="s">
        <v>82</v>
      </c>
      <c r="D1" s="53" t="s">
        <v>83</v>
      </c>
      <c r="E1" s="53" t="s">
        <v>32</v>
      </c>
      <c r="F1" s="53" t="s">
        <v>53</v>
      </c>
      <c r="G1" s="54" t="s">
        <v>31</v>
      </c>
      <c r="H1" s="53" t="s">
        <v>65</v>
      </c>
    </row>
    <row r="2" spans="1:8" ht="33" thickTop="1">
      <c r="A2" s="1" t="str">
        <f>IF(ISBLANK(G2),"",IF(G2&gt;0,"G","R")&amp;TEXT(ROW()-1,"00"))</f>
        <v>R01</v>
      </c>
      <c r="B2" s="1" t="str">
        <f>IF(LEN(A2)&gt;0,VLOOKUP(MID(A2,1,1),Abbreviations,2,FALSE),"")</f>
        <v>Risk</v>
      </c>
      <c r="E2" s="1" t="s">
        <v>52</v>
      </c>
      <c r="F2" s="1" t="s">
        <v>2</v>
      </c>
      <c r="G2" s="13">
        <v>-2</v>
      </c>
      <c r="H2" s="11" t="s">
        <v>118</v>
      </c>
    </row>
    <row r="3" spans="1:8" ht="16">
      <c r="A3" s="1" t="str">
        <f>IF(ISBLANK(G3),"",IF(G3&gt;0,"G","R")&amp;TEXT(ROW()-1,"00"))</f>
        <v>G02</v>
      </c>
      <c r="B3" s="1" t="str">
        <f>IF(LEN(A3)&gt;0,VLOOKUP(MID(A3,1,1),Abbreviations,2,FALSE),"")</f>
        <v>Goal</v>
      </c>
      <c r="E3" s="1" t="s">
        <v>52</v>
      </c>
      <c r="F3" s="1" t="s">
        <v>2</v>
      </c>
      <c r="G3" s="13">
        <v>1</v>
      </c>
      <c r="H3" s="11" t="s">
        <v>106</v>
      </c>
    </row>
    <row r="4" spans="1:8" ht="48">
      <c r="A4" s="1" t="str">
        <f t="shared" ref="A4" si="0">IF(ISBLANK(G4),"",IF(G4&gt;0,"G","R")&amp;TEXT(ROW()-1,"00"))</f>
        <v>R03</v>
      </c>
      <c r="B4" s="1" t="str">
        <f t="shared" ref="B4" si="1">IF(LEN(A4)&gt;0,VLOOKUP(MID(A4,1,1),Abbreviations,2,FALSE),"")</f>
        <v>Risk</v>
      </c>
      <c r="C4" s="1" t="s">
        <v>71</v>
      </c>
      <c r="D4" s="1" t="s">
        <v>84</v>
      </c>
      <c r="E4" s="1" t="s">
        <v>52</v>
      </c>
      <c r="F4" s="1" t="s">
        <v>0</v>
      </c>
      <c r="G4" s="13">
        <v>-1</v>
      </c>
      <c r="H4" s="1" t="s">
        <v>87</v>
      </c>
    </row>
    <row r="5" spans="1:8" ht="44.5" customHeight="1">
      <c r="A5" s="1" t="str">
        <f>IF(ISBLANK(G5),"",IF(G5&gt;0,"G","R")&amp;TEXT(ROW()-1,"00"))</f>
        <v>G04</v>
      </c>
      <c r="B5" s="1" t="str">
        <f t="shared" ref="B5:B74" si="2">IF(LEN(A5)&gt;0,VLOOKUP(MID(A5,1,1),Abbreviations,2,FALSE),"")</f>
        <v>Goal</v>
      </c>
      <c r="E5" s="1" t="s">
        <v>52</v>
      </c>
      <c r="F5" s="1" t="s">
        <v>1</v>
      </c>
      <c r="G5" s="13">
        <v>2</v>
      </c>
      <c r="H5" s="15" t="s">
        <v>124</v>
      </c>
    </row>
    <row r="6" spans="1:8" ht="48">
      <c r="A6" s="1" t="str">
        <f t="shared" ref="A6:A11" si="3">IF(ISBLANK(G6),"",IF(G6&gt;0,"G","R")&amp;TEXT(ROW()-1,"00"))</f>
        <v>R05</v>
      </c>
      <c r="B6" s="1" t="str">
        <f t="shared" si="2"/>
        <v>Risk</v>
      </c>
      <c r="E6" s="1" t="s">
        <v>52</v>
      </c>
      <c r="F6" s="1" t="s">
        <v>1</v>
      </c>
      <c r="G6" s="13">
        <v>-2</v>
      </c>
      <c r="H6" s="15" t="s">
        <v>67</v>
      </c>
    </row>
    <row r="7" spans="1:8" ht="32">
      <c r="A7" s="1" t="str">
        <f>IF(ISBLANK(G7),"",IF(G7&gt;0,"G","R")&amp;TEXT(ROW()-1,"00"))</f>
        <v>G06</v>
      </c>
      <c r="B7" s="1" t="str">
        <f>IF(LEN(A7)&gt;0,VLOOKUP(MID(A7,1,1),Abbreviations,2,FALSE),"")</f>
        <v>Goal</v>
      </c>
      <c r="E7" s="1" t="s">
        <v>52</v>
      </c>
      <c r="F7" s="1" t="s">
        <v>5</v>
      </c>
      <c r="G7" s="13">
        <v>2</v>
      </c>
      <c r="H7" s="1" t="s">
        <v>142</v>
      </c>
    </row>
    <row r="8" spans="1:8" ht="32">
      <c r="A8" s="1" t="str">
        <f t="shared" si="3"/>
        <v>R07</v>
      </c>
      <c r="B8" s="1" t="str">
        <f t="shared" si="2"/>
        <v>Risk</v>
      </c>
      <c r="E8" s="1" t="s">
        <v>52</v>
      </c>
      <c r="F8" s="1" t="s">
        <v>4</v>
      </c>
      <c r="G8" s="13">
        <v>-1</v>
      </c>
      <c r="H8" s="1" t="s">
        <v>66</v>
      </c>
    </row>
    <row r="9" spans="1:8" ht="16">
      <c r="A9" s="1" t="str">
        <f t="shared" si="3"/>
        <v>R08</v>
      </c>
      <c r="B9" s="1" t="str">
        <f t="shared" si="2"/>
        <v>Risk</v>
      </c>
      <c r="E9" s="1" t="s">
        <v>52</v>
      </c>
      <c r="F9" s="1" t="s">
        <v>4</v>
      </c>
      <c r="G9" s="13">
        <v>-1</v>
      </c>
      <c r="H9" s="1" t="s">
        <v>159</v>
      </c>
    </row>
    <row r="10" spans="1:8" ht="16">
      <c r="A10" s="1" t="str">
        <f t="shared" si="3"/>
        <v>R09</v>
      </c>
      <c r="B10" s="1" t="str">
        <f t="shared" si="2"/>
        <v>Risk</v>
      </c>
      <c r="E10" s="1" t="s">
        <v>52</v>
      </c>
      <c r="F10" s="1" t="s">
        <v>4</v>
      </c>
      <c r="G10" s="13">
        <v>-1</v>
      </c>
      <c r="H10" s="1" t="s">
        <v>161</v>
      </c>
    </row>
    <row r="11" spans="1:8" ht="16">
      <c r="A11" s="1" t="str">
        <f t="shared" si="3"/>
        <v>R10</v>
      </c>
      <c r="B11" s="1" t="str">
        <f t="shared" si="2"/>
        <v>Risk</v>
      </c>
      <c r="E11" s="1" t="s">
        <v>52</v>
      </c>
      <c r="F11" s="1" t="s">
        <v>4</v>
      </c>
      <c r="G11" s="13">
        <v>-1</v>
      </c>
      <c r="H11" s="1" t="s">
        <v>162</v>
      </c>
    </row>
    <row r="12" spans="1:8" ht="32">
      <c r="A12" s="1" t="str">
        <f>IF(ISBLANK(G12),"",IF(G12&gt;0,"G","R")&amp;TEXT(ROW()-1,"00"))</f>
        <v>G11</v>
      </c>
      <c r="B12" s="1" t="str">
        <f>IF(LEN(A12)&gt;0,VLOOKUP(MID(A12,1,1),Abbreviations,2,FALSE),"")</f>
        <v>Goal</v>
      </c>
      <c r="E12" s="1" t="s">
        <v>57</v>
      </c>
      <c r="F12" s="15" t="s">
        <v>1</v>
      </c>
      <c r="G12" s="13">
        <v>1</v>
      </c>
      <c r="H12" s="1" t="s">
        <v>68</v>
      </c>
    </row>
    <row r="13" spans="1:8" ht="32">
      <c r="A13" s="1" t="str">
        <f>IF(ISBLANK(G13),"",IF(G13&gt;0,"G","R")&amp;TEXT(ROW()-1,"00"))</f>
        <v>R12</v>
      </c>
      <c r="B13" s="1" t="str">
        <f>IF(LEN(A13)&gt;0,VLOOKUP(MID(A13,1,1),Abbreviations,2,FALSE),"")</f>
        <v>Risk</v>
      </c>
      <c r="E13" s="1" t="s">
        <v>57</v>
      </c>
      <c r="F13" s="1" t="s">
        <v>1</v>
      </c>
      <c r="G13" s="13">
        <v>-2</v>
      </c>
      <c r="H13" s="1" t="s">
        <v>69</v>
      </c>
    </row>
    <row r="14" spans="1:8" ht="16">
      <c r="A14" s="1" t="str">
        <f>IF(ISBLANK(G14),"",IF(G14&gt;0,"G","R")&amp;TEXT(ROW()-1,"00"))</f>
        <v>R13</v>
      </c>
      <c r="B14" s="1" t="str">
        <f>IF(LEN(A14)&gt;0,VLOOKUP(MID(A14,1,1),Abbreviations,2,FALSE),"")</f>
        <v>Risk</v>
      </c>
      <c r="E14" s="1" t="s">
        <v>57</v>
      </c>
      <c r="F14" s="1" t="s">
        <v>4</v>
      </c>
      <c r="G14" s="13">
        <v>-1</v>
      </c>
      <c r="H14" s="1" t="s">
        <v>160</v>
      </c>
    </row>
    <row r="15" spans="1:8" ht="32">
      <c r="A15" s="1" t="str">
        <f t="shared" ref="A15:A16" si="4">IF(ISBLANK(G15),"",IF(G15&gt;0,"G","R")&amp;TEXT(ROW()-1,"00"))</f>
        <v>R14</v>
      </c>
      <c r="B15" s="1" t="str">
        <f>IF(LEN(A15)&gt;0,VLOOKUP(MID(A15,1,1),Abbreviations,2,FALSE),"")</f>
        <v>Risk</v>
      </c>
      <c r="E15" s="1" t="s">
        <v>57</v>
      </c>
      <c r="F15" s="1" t="s">
        <v>4</v>
      </c>
      <c r="G15" s="13">
        <v>-1</v>
      </c>
      <c r="H15" s="1" t="s">
        <v>172</v>
      </c>
    </row>
    <row r="16" spans="1:8" ht="16">
      <c r="A16" s="1" t="str">
        <f t="shared" si="4"/>
        <v>R15</v>
      </c>
      <c r="B16" s="1" t="str">
        <f>IF(LEN(A16)&gt;0,VLOOKUP(MID(A16,1,1),Abbreviations,2,FALSE),"")</f>
        <v>Risk</v>
      </c>
      <c r="E16" s="1" t="s">
        <v>57</v>
      </c>
      <c r="F16" s="1" t="s">
        <v>4</v>
      </c>
      <c r="G16" s="13">
        <v>-1</v>
      </c>
      <c r="H16" s="1" t="s">
        <v>181</v>
      </c>
    </row>
    <row r="17" spans="1:8" ht="16">
      <c r="A17" s="1" t="str">
        <f t="shared" ref="A17:A106" si="5">IF(ISBLANK(G17),"",IF(G17&gt;0,"G","R")&amp;TEXT(ROW()-1,"00"))</f>
        <v>R16</v>
      </c>
      <c r="B17" s="1" t="str">
        <f t="shared" si="2"/>
        <v>Risk</v>
      </c>
      <c r="C17" s="1" t="s">
        <v>70</v>
      </c>
      <c r="E17" s="1" t="s">
        <v>57</v>
      </c>
      <c r="F17" s="1" t="s">
        <v>3</v>
      </c>
      <c r="G17" s="13">
        <v>-1</v>
      </c>
      <c r="H17" s="1" t="s">
        <v>72</v>
      </c>
    </row>
    <row r="18" spans="1:8" ht="16">
      <c r="A18" s="1" t="str">
        <f t="shared" si="5"/>
        <v>R17</v>
      </c>
      <c r="B18" s="1" t="str">
        <f t="shared" si="2"/>
        <v>Risk</v>
      </c>
      <c r="E18" s="1" t="s">
        <v>57</v>
      </c>
      <c r="F18" s="1" t="s">
        <v>78</v>
      </c>
      <c r="G18" s="13">
        <v>-2</v>
      </c>
      <c r="H18" s="1" t="s">
        <v>73</v>
      </c>
    </row>
    <row r="19" spans="1:8" ht="32">
      <c r="A19" s="1" t="str">
        <f t="shared" ref="A19" si="6">IF(ISBLANK(G19),"",IF(G19&gt;0,"G","R")&amp;TEXT(ROW()-1,"00"))</f>
        <v>R18</v>
      </c>
      <c r="B19" s="1" t="str">
        <f t="shared" si="2"/>
        <v>Risk</v>
      </c>
      <c r="E19" s="1" t="s">
        <v>57</v>
      </c>
      <c r="F19" s="1" t="s">
        <v>78</v>
      </c>
      <c r="G19" s="13">
        <v>-1</v>
      </c>
      <c r="H19" s="1" t="s">
        <v>75</v>
      </c>
    </row>
    <row r="20" spans="1:8" ht="32">
      <c r="A20" s="1" t="str">
        <f t="shared" ref="A20:A21" si="7">IF(ISBLANK(G20),"",IF(G20&gt;0,"G","R")&amp;TEXT(ROW()-1,"00"))</f>
        <v>R19</v>
      </c>
      <c r="B20" s="1" t="str">
        <f t="shared" ref="B20:B21" si="8">IF(LEN(A20)&gt;0,VLOOKUP(MID(A20,1,1),Abbreviations,2,FALSE),"")</f>
        <v>Risk</v>
      </c>
      <c r="E20" s="1" t="s">
        <v>57</v>
      </c>
      <c r="F20" s="1" t="s">
        <v>6</v>
      </c>
      <c r="G20" s="13">
        <v>-1</v>
      </c>
      <c r="H20" s="1" t="s">
        <v>163</v>
      </c>
    </row>
    <row r="21" spans="1:8" ht="32">
      <c r="A21" s="1" t="str">
        <f t="shared" si="7"/>
        <v>G20</v>
      </c>
      <c r="B21" s="1" t="str">
        <f t="shared" si="8"/>
        <v>Goal</v>
      </c>
      <c r="E21" s="1" t="s">
        <v>57</v>
      </c>
      <c r="F21" s="1" t="s">
        <v>6</v>
      </c>
      <c r="G21" s="13">
        <v>2</v>
      </c>
      <c r="H21" s="1" t="s">
        <v>164</v>
      </c>
    </row>
    <row r="22" spans="1:8" ht="16">
      <c r="A22" s="1" t="str">
        <f t="shared" ref="A22:A25" si="9">IF(ISBLANK(G22),"",IF(G22&gt;0,"G","R")&amp;TEXT(ROW()-1,"00"))</f>
        <v>R21</v>
      </c>
      <c r="B22" s="1" t="str">
        <f t="shared" ref="B22:B25" si="10">IF(LEN(A22)&gt;0,VLOOKUP(MID(A22,1,1),Abbreviations,2,FALSE),"")</f>
        <v>Risk</v>
      </c>
      <c r="E22" s="1" t="s">
        <v>169</v>
      </c>
      <c r="F22" s="1" t="s">
        <v>4</v>
      </c>
      <c r="G22" s="13">
        <v>-1</v>
      </c>
      <c r="H22" s="1" t="s">
        <v>170</v>
      </c>
    </row>
    <row r="23" spans="1:8" ht="32">
      <c r="A23" s="1" t="str">
        <f t="shared" si="9"/>
        <v>R22</v>
      </c>
      <c r="B23" s="1" t="str">
        <f t="shared" si="10"/>
        <v>Risk</v>
      </c>
      <c r="E23" s="1" t="s">
        <v>169</v>
      </c>
      <c r="F23" s="1" t="s">
        <v>4</v>
      </c>
      <c r="G23" s="13">
        <v>-1</v>
      </c>
      <c r="H23" s="1" t="s">
        <v>171</v>
      </c>
    </row>
    <row r="24" spans="1:8" ht="32">
      <c r="A24" s="1" t="str">
        <f t="shared" si="9"/>
        <v>R23</v>
      </c>
      <c r="B24" s="1" t="str">
        <f t="shared" si="10"/>
        <v>Risk</v>
      </c>
      <c r="E24" s="1" t="s">
        <v>169</v>
      </c>
      <c r="F24" s="1" t="s">
        <v>4</v>
      </c>
      <c r="G24" s="13">
        <v>-1</v>
      </c>
      <c r="H24" s="1" t="s">
        <v>173</v>
      </c>
    </row>
    <row r="25" spans="1:8" ht="32">
      <c r="A25" s="1" t="str">
        <f t="shared" si="9"/>
        <v>R24</v>
      </c>
      <c r="B25" s="1" t="str">
        <f t="shared" si="10"/>
        <v>Risk</v>
      </c>
      <c r="E25" s="1" t="s">
        <v>169</v>
      </c>
      <c r="F25" s="1" t="s">
        <v>78</v>
      </c>
      <c r="G25" s="13">
        <v>-2</v>
      </c>
      <c r="H25" s="1" t="s">
        <v>174</v>
      </c>
    </row>
    <row r="26" spans="1:8" ht="32">
      <c r="A26" s="1" t="str">
        <f t="shared" ref="A26:A29" si="11">IF(ISBLANK(G26),"",IF(G26&gt;0,"G","R")&amp;TEXT(ROW()-1,"00"))</f>
        <v>G25</v>
      </c>
      <c r="B26" s="1" t="str">
        <f t="shared" ref="B26:B29" si="12">IF(LEN(A26)&gt;0,VLOOKUP(MID(A26,1,1),Abbreviations,2,FALSE),"")</f>
        <v>Goal</v>
      </c>
      <c r="E26" s="1" t="s">
        <v>169</v>
      </c>
      <c r="F26" s="1" t="s">
        <v>78</v>
      </c>
      <c r="G26" s="13">
        <v>1</v>
      </c>
      <c r="H26" s="1" t="s">
        <v>175</v>
      </c>
    </row>
    <row r="27" spans="1:8" ht="32">
      <c r="A27" s="1" t="str">
        <f t="shared" si="11"/>
        <v>R26</v>
      </c>
      <c r="B27" s="1" t="str">
        <f t="shared" si="12"/>
        <v>Risk</v>
      </c>
      <c r="E27" s="1" t="s">
        <v>168</v>
      </c>
      <c r="F27" s="1" t="s">
        <v>4</v>
      </c>
      <c r="G27" s="13">
        <v>-2</v>
      </c>
      <c r="H27" s="1" t="s">
        <v>185</v>
      </c>
    </row>
    <row r="28" spans="1:8" ht="32">
      <c r="A28" s="1" t="str">
        <f t="shared" si="11"/>
        <v>R27</v>
      </c>
      <c r="B28" s="1" t="str">
        <f t="shared" si="12"/>
        <v>Risk</v>
      </c>
      <c r="E28" s="1" t="s">
        <v>168</v>
      </c>
      <c r="F28" s="1" t="s">
        <v>4</v>
      </c>
      <c r="G28" s="13">
        <v>-2</v>
      </c>
      <c r="H28" s="1" t="s">
        <v>184</v>
      </c>
    </row>
    <row r="29" spans="1:8" ht="32">
      <c r="A29" s="1" t="str">
        <f t="shared" si="11"/>
        <v>R28</v>
      </c>
      <c r="B29" s="1" t="str">
        <f t="shared" si="12"/>
        <v>Risk</v>
      </c>
      <c r="E29" s="1" t="s">
        <v>168</v>
      </c>
      <c r="F29" s="1" t="s">
        <v>4</v>
      </c>
      <c r="G29" s="13">
        <v>-2</v>
      </c>
      <c r="H29" s="1" t="s">
        <v>188</v>
      </c>
    </row>
    <row r="30" spans="1:8" ht="16">
      <c r="A30" s="1" t="str">
        <f t="shared" ref="A30:A31" si="13">IF(ISBLANK(G30),"",IF(G30&gt;0,"G","R")&amp;TEXT(ROW()-1,"00"))</f>
        <v>G29</v>
      </c>
      <c r="B30" s="1" t="str">
        <f t="shared" ref="B30:B31" si="14">IF(LEN(A30)&gt;0,VLOOKUP(MID(A30,1,1),Abbreviations,2,FALSE),"")</f>
        <v>Goal</v>
      </c>
      <c r="E30" s="1" t="s">
        <v>168</v>
      </c>
      <c r="F30" s="1" t="s">
        <v>6</v>
      </c>
      <c r="G30" s="13">
        <v>1</v>
      </c>
      <c r="H30" s="1" t="s">
        <v>176</v>
      </c>
    </row>
    <row r="31" spans="1:8" ht="16">
      <c r="A31" s="1" t="str">
        <f t="shared" si="13"/>
        <v>R30</v>
      </c>
      <c r="B31" s="1" t="str">
        <f t="shared" si="14"/>
        <v>Risk</v>
      </c>
      <c r="E31" s="1" t="s">
        <v>168</v>
      </c>
      <c r="F31" s="1" t="s">
        <v>78</v>
      </c>
      <c r="G31" s="13">
        <v>-2</v>
      </c>
      <c r="H31" s="1" t="s">
        <v>177</v>
      </c>
    </row>
    <row r="32" spans="1:8" ht="16">
      <c r="A32" s="1" t="str">
        <f t="shared" ref="A32:A33" si="15">IF(ISBLANK(G32),"",IF(G32&gt;0,"G","R")&amp;TEXT(ROW()-1,"00"))</f>
        <v>R31</v>
      </c>
      <c r="B32" s="1" t="str">
        <f t="shared" ref="B32" si="16">IF(LEN(A32)&gt;0,VLOOKUP(MID(A32,1,1),Abbreviations,2,FALSE),"")</f>
        <v>Risk</v>
      </c>
      <c r="E32" s="1" t="s">
        <v>168</v>
      </c>
      <c r="F32" s="1" t="s">
        <v>7</v>
      </c>
      <c r="G32" s="13">
        <v>-1</v>
      </c>
      <c r="H32" s="1" t="s">
        <v>178</v>
      </c>
    </row>
    <row r="33" spans="1:8" ht="16">
      <c r="A33" s="1" t="str">
        <f t="shared" si="15"/>
        <v>R32</v>
      </c>
      <c r="B33" s="1" t="str">
        <f t="shared" ref="B33" si="17">IF(LEN(A33)&gt;0,VLOOKUP(MID(A33,1,1),Abbreviations,2,FALSE),"")</f>
        <v>Risk</v>
      </c>
      <c r="E33" s="1" t="s">
        <v>168</v>
      </c>
      <c r="F33" s="1" t="s">
        <v>7</v>
      </c>
      <c r="G33" s="13">
        <v>-1</v>
      </c>
      <c r="H33" s="1" t="s">
        <v>179</v>
      </c>
    </row>
    <row r="34" spans="1:8" ht="32">
      <c r="A34" s="1" t="str">
        <f t="shared" ref="A34" si="18">IF(ISBLANK(G34),"",IF(G34&gt;0,"G","R")&amp;TEXT(ROW()-1,"00"))</f>
        <v>G33</v>
      </c>
      <c r="B34" s="1" t="str">
        <f t="shared" ref="B34" si="19">IF(LEN(A34)&gt;0,VLOOKUP(MID(A34,1,1),Abbreviations,2,FALSE),"")</f>
        <v>Goal</v>
      </c>
      <c r="E34" s="1" t="s">
        <v>168</v>
      </c>
      <c r="F34" s="1" t="s">
        <v>7</v>
      </c>
      <c r="G34" s="13">
        <v>1</v>
      </c>
      <c r="H34" s="1" t="s">
        <v>180</v>
      </c>
    </row>
    <row r="35" spans="1:8" ht="32">
      <c r="A35" s="1" t="str">
        <f t="shared" ref="A35:A65" si="20">IF(ISBLANK(G35),"",IF(G35&gt;0,"G","R")&amp;TEXT(ROW()-1,"00"))</f>
        <v>G34</v>
      </c>
      <c r="B35" s="1" t="str">
        <f t="shared" si="2"/>
        <v>Goal</v>
      </c>
      <c r="C35" s="1" t="s">
        <v>71</v>
      </c>
      <c r="E35" s="1" t="s">
        <v>38</v>
      </c>
      <c r="F35" s="1" t="s">
        <v>78</v>
      </c>
      <c r="G35" s="13">
        <v>1</v>
      </c>
      <c r="H35" s="1" t="s">
        <v>74</v>
      </c>
    </row>
    <row r="36" spans="1:8" ht="32">
      <c r="A36" s="1" t="str">
        <f t="shared" ref="A36:A40" si="21">IF(ISBLANK(G36),"",IF(G36&gt;0,"G","R")&amp;TEXT(ROW()-1,"00"))</f>
        <v>G35</v>
      </c>
      <c r="B36" s="1" t="str">
        <f t="shared" ref="B36" si="22">IF(LEN(A36)&gt;0,VLOOKUP(MID(A36,1,1),Abbreviations,2,FALSE),"")</f>
        <v>Goal</v>
      </c>
      <c r="C36" s="1" t="s">
        <v>71</v>
      </c>
      <c r="E36" s="1" t="s">
        <v>38</v>
      </c>
      <c r="F36" s="1" t="s">
        <v>6</v>
      </c>
      <c r="G36" s="13">
        <v>1</v>
      </c>
      <c r="H36" s="1" t="s">
        <v>165</v>
      </c>
    </row>
    <row r="37" spans="1:8" ht="32">
      <c r="A37" s="1" t="str">
        <f t="shared" ref="A37:A39" si="23">IF(ISBLANK(G37),"",IF(G37&gt;0,"G","R")&amp;TEXT(ROW()-1,"00"))</f>
        <v>R36</v>
      </c>
      <c r="B37" s="1" t="str">
        <f t="shared" ref="B37:B39" si="24">IF(LEN(A37)&gt;0,VLOOKUP(MID(A37,1,1),Abbreviations,2,FALSE),"")</f>
        <v>Risk</v>
      </c>
      <c r="C37" s="1" t="s">
        <v>71</v>
      </c>
      <c r="D37" s="1" t="s">
        <v>85</v>
      </c>
      <c r="E37" s="1" t="s">
        <v>76</v>
      </c>
      <c r="F37" s="1" t="s">
        <v>4</v>
      </c>
      <c r="G37" s="13">
        <v>-2</v>
      </c>
      <c r="H37" s="1" t="s">
        <v>186</v>
      </c>
    </row>
    <row r="38" spans="1:8" ht="32">
      <c r="A38" s="1" t="str">
        <f t="shared" si="23"/>
        <v>R37</v>
      </c>
      <c r="B38" s="1" t="str">
        <f t="shared" si="24"/>
        <v>Risk</v>
      </c>
      <c r="C38" s="1" t="s">
        <v>71</v>
      </c>
      <c r="D38" s="1" t="s">
        <v>85</v>
      </c>
      <c r="E38" s="1" t="s">
        <v>76</v>
      </c>
      <c r="F38" s="1" t="s">
        <v>4</v>
      </c>
      <c r="G38" s="13">
        <v>-2</v>
      </c>
      <c r="H38" s="1" t="s">
        <v>182</v>
      </c>
    </row>
    <row r="39" spans="1:8" ht="16">
      <c r="A39" s="1" t="str">
        <f t="shared" si="23"/>
        <v>R38</v>
      </c>
      <c r="B39" s="1" t="str">
        <f t="shared" si="24"/>
        <v>Risk</v>
      </c>
      <c r="C39" s="1" t="s">
        <v>71</v>
      </c>
      <c r="D39" s="1" t="s">
        <v>85</v>
      </c>
      <c r="E39" s="1" t="s">
        <v>76</v>
      </c>
      <c r="F39" s="1" t="s">
        <v>4</v>
      </c>
      <c r="G39" s="13">
        <v>-1</v>
      </c>
      <c r="H39" s="1" t="s">
        <v>183</v>
      </c>
    </row>
    <row r="40" spans="1:8" ht="48">
      <c r="A40" s="1" t="str">
        <f t="shared" si="21"/>
        <v>G39</v>
      </c>
      <c r="B40" s="1" t="str">
        <f t="shared" ref="B40" si="25">IF(LEN(A40)&gt;0,VLOOKUP(MID(A40,1,1),Abbreviations,2,FALSE),"")</f>
        <v>Goal</v>
      </c>
      <c r="C40" s="1" t="s">
        <v>71</v>
      </c>
      <c r="E40" s="1" t="s">
        <v>76</v>
      </c>
      <c r="F40" s="1" t="s">
        <v>6</v>
      </c>
      <c r="G40" s="13">
        <v>1</v>
      </c>
      <c r="H40" s="1" t="s">
        <v>166</v>
      </c>
    </row>
    <row r="41" spans="1:8" ht="32">
      <c r="A41" s="1" t="str">
        <f t="shared" si="20"/>
        <v>G40</v>
      </c>
      <c r="B41" s="1" t="str">
        <f t="shared" si="2"/>
        <v>Goal</v>
      </c>
      <c r="C41" s="1" t="s">
        <v>71</v>
      </c>
      <c r="E41" s="1" t="s">
        <v>76</v>
      </c>
      <c r="F41" s="1" t="s">
        <v>78</v>
      </c>
      <c r="G41" s="13">
        <v>1</v>
      </c>
      <c r="H41" s="1" t="s">
        <v>79</v>
      </c>
    </row>
    <row r="42" spans="1:8" ht="32">
      <c r="A42" s="1" t="str">
        <f t="shared" ref="A42" si="26">IF(ISBLANK(G42),"",IF(G42&gt;0,"G","R")&amp;TEXT(ROW()-1,"00"))</f>
        <v>R41</v>
      </c>
      <c r="B42" s="1" t="str">
        <f t="shared" si="2"/>
        <v>Risk</v>
      </c>
      <c r="C42" s="1" t="s">
        <v>71</v>
      </c>
      <c r="D42" s="1" t="s">
        <v>85</v>
      </c>
      <c r="E42" s="1" t="s">
        <v>76</v>
      </c>
      <c r="F42" s="1" t="s">
        <v>78</v>
      </c>
      <c r="G42" s="13">
        <v>-1</v>
      </c>
      <c r="H42" s="1" t="s">
        <v>81</v>
      </c>
    </row>
    <row r="43" spans="1:8" ht="32">
      <c r="A43" s="1" t="str">
        <f t="shared" si="20"/>
        <v>R42</v>
      </c>
      <c r="B43" s="1" t="str">
        <f t="shared" si="2"/>
        <v>Risk</v>
      </c>
      <c r="C43" s="1" t="s">
        <v>71</v>
      </c>
      <c r="D43" s="1" t="s">
        <v>85</v>
      </c>
      <c r="E43" s="1" t="s">
        <v>39</v>
      </c>
      <c r="F43" s="1" t="s">
        <v>78</v>
      </c>
      <c r="G43" s="13">
        <v>-2</v>
      </c>
      <c r="H43" s="1" t="s">
        <v>80</v>
      </c>
    </row>
    <row r="44" spans="1:8" ht="32">
      <c r="A44" s="1" t="str">
        <f t="shared" si="20"/>
        <v>R43</v>
      </c>
      <c r="B44" s="1" t="str">
        <f t="shared" si="2"/>
        <v>Risk</v>
      </c>
      <c r="C44" s="1" t="s">
        <v>71</v>
      </c>
      <c r="D44" s="1" t="s">
        <v>85</v>
      </c>
      <c r="E44" s="1" t="s">
        <v>39</v>
      </c>
      <c r="F44" s="1" t="s">
        <v>4</v>
      </c>
      <c r="G44" s="13">
        <v>-2</v>
      </c>
      <c r="H44" s="1" t="s">
        <v>251</v>
      </c>
    </row>
    <row r="45" spans="1:8" ht="16">
      <c r="A45" s="1" t="str">
        <f t="shared" si="20"/>
        <v>R44</v>
      </c>
      <c r="B45" s="1" t="str">
        <f t="shared" si="2"/>
        <v>Risk</v>
      </c>
      <c r="C45" s="1" t="s">
        <v>99</v>
      </c>
      <c r="E45" s="1" t="s">
        <v>40</v>
      </c>
      <c r="F45" s="1" t="s">
        <v>3</v>
      </c>
      <c r="G45" s="13">
        <v>-1</v>
      </c>
      <c r="H45" s="1" t="s">
        <v>88</v>
      </c>
    </row>
    <row r="46" spans="1:8" ht="32">
      <c r="A46" s="1" t="str">
        <f t="shared" si="20"/>
        <v>G45</v>
      </c>
      <c r="B46" s="1" t="str">
        <f t="shared" si="2"/>
        <v>Goal</v>
      </c>
      <c r="C46" s="1" t="s">
        <v>99</v>
      </c>
      <c r="E46" s="1" t="s">
        <v>40</v>
      </c>
      <c r="F46" s="1" t="s">
        <v>6</v>
      </c>
      <c r="G46" s="13">
        <v>1</v>
      </c>
      <c r="H46" s="1" t="s">
        <v>167</v>
      </c>
    </row>
    <row r="47" spans="1:8" ht="16">
      <c r="A47" s="1" t="str">
        <f t="shared" ref="A47" si="27">IF(ISBLANK(G47),"",IF(G47&gt;0,"G","R")&amp;TEXT(ROW()-1,"00"))</f>
        <v>R46</v>
      </c>
      <c r="B47" s="1" t="str">
        <f t="shared" ref="B47" si="28">IF(LEN(A47)&gt;0,VLOOKUP(MID(A47,1,1),Abbreviations,2,FALSE),"")</f>
        <v>Risk</v>
      </c>
      <c r="C47" s="1" t="s">
        <v>99</v>
      </c>
      <c r="E47" s="1" t="s">
        <v>40</v>
      </c>
      <c r="F47" s="1" t="s">
        <v>78</v>
      </c>
      <c r="G47" s="13">
        <v>-2</v>
      </c>
      <c r="H47" s="1" t="s">
        <v>89</v>
      </c>
    </row>
    <row r="48" spans="1:8" ht="32">
      <c r="A48" s="1" t="str">
        <f t="shared" si="20"/>
        <v>G47</v>
      </c>
      <c r="B48" s="1" t="str">
        <f t="shared" si="2"/>
        <v>Goal</v>
      </c>
      <c r="E48" s="1" t="s">
        <v>40</v>
      </c>
      <c r="F48" s="1" t="s">
        <v>7</v>
      </c>
      <c r="G48" s="13">
        <v>1</v>
      </c>
      <c r="H48" s="1" t="s">
        <v>90</v>
      </c>
    </row>
    <row r="49" spans="1:8" ht="16">
      <c r="A49" s="1" t="str">
        <f t="shared" si="20"/>
        <v>G48</v>
      </c>
      <c r="B49" s="1" t="str">
        <f t="shared" si="2"/>
        <v>Goal</v>
      </c>
      <c r="C49" s="1" t="s">
        <v>99</v>
      </c>
      <c r="E49" s="1" t="s">
        <v>40</v>
      </c>
      <c r="F49" s="1" t="s">
        <v>8</v>
      </c>
      <c r="G49" s="13">
        <v>1</v>
      </c>
      <c r="H49" s="1" t="s">
        <v>91</v>
      </c>
    </row>
    <row r="50" spans="1:8" ht="32">
      <c r="A50" s="1" t="str">
        <f t="shared" si="20"/>
        <v>R49</v>
      </c>
      <c r="B50" s="1" t="str">
        <f t="shared" si="2"/>
        <v>Risk</v>
      </c>
      <c r="C50" s="1" t="s">
        <v>99</v>
      </c>
      <c r="E50" s="1" t="s">
        <v>40</v>
      </c>
      <c r="F50" s="1" t="s">
        <v>4</v>
      </c>
      <c r="G50" s="13">
        <v>-1</v>
      </c>
      <c r="H50" s="1" t="s">
        <v>103</v>
      </c>
    </row>
    <row r="51" spans="1:8" ht="16">
      <c r="A51" s="1" t="str">
        <f t="shared" si="20"/>
        <v>R50</v>
      </c>
      <c r="B51" s="1" t="str">
        <f t="shared" si="2"/>
        <v>Risk</v>
      </c>
      <c r="E51" s="1" t="s">
        <v>41</v>
      </c>
      <c r="F51" s="1" t="s">
        <v>78</v>
      </c>
      <c r="G51" s="13">
        <v>-2</v>
      </c>
      <c r="H51" s="1" t="s">
        <v>101</v>
      </c>
    </row>
    <row r="52" spans="1:8" ht="16">
      <c r="A52" s="1" t="str">
        <f t="shared" si="20"/>
        <v>G51</v>
      </c>
      <c r="B52" s="1" t="str">
        <f t="shared" si="2"/>
        <v>Goal</v>
      </c>
      <c r="E52" s="1" t="s">
        <v>41</v>
      </c>
      <c r="F52" s="1" t="s">
        <v>7</v>
      </c>
      <c r="G52" s="13">
        <v>2</v>
      </c>
      <c r="H52" s="1" t="s">
        <v>100</v>
      </c>
    </row>
    <row r="53" spans="1:8" ht="32">
      <c r="A53" s="1" t="str">
        <f t="shared" si="20"/>
        <v>R52</v>
      </c>
      <c r="B53" s="1" t="str">
        <f t="shared" si="2"/>
        <v>Risk</v>
      </c>
      <c r="C53" s="1" t="s">
        <v>84</v>
      </c>
      <c r="E53" s="1" t="s">
        <v>41</v>
      </c>
      <c r="F53" s="1" t="s">
        <v>7</v>
      </c>
      <c r="G53" s="13">
        <v>-2</v>
      </c>
      <c r="H53" s="1" t="s">
        <v>108</v>
      </c>
    </row>
    <row r="54" spans="1:8" ht="16">
      <c r="A54" s="1" t="str">
        <f t="shared" si="20"/>
        <v>G53</v>
      </c>
      <c r="B54" s="1" t="str">
        <f t="shared" si="2"/>
        <v>Goal</v>
      </c>
      <c r="E54" s="1" t="s">
        <v>41</v>
      </c>
      <c r="F54" s="15" t="s">
        <v>8</v>
      </c>
      <c r="G54" s="13">
        <v>2</v>
      </c>
      <c r="H54" s="1" t="s">
        <v>252</v>
      </c>
    </row>
    <row r="55" spans="1:8" ht="16">
      <c r="A55" s="1" t="str">
        <f t="shared" si="20"/>
        <v>R54</v>
      </c>
      <c r="B55" s="1" t="str">
        <f t="shared" si="2"/>
        <v>Risk</v>
      </c>
      <c r="E55" s="1" t="s">
        <v>41</v>
      </c>
      <c r="F55" s="1" t="s">
        <v>4</v>
      </c>
      <c r="G55" s="13">
        <v>-2</v>
      </c>
      <c r="H55" s="1" t="s">
        <v>102</v>
      </c>
    </row>
    <row r="56" spans="1:8" ht="16">
      <c r="A56" s="1" t="str">
        <f t="shared" ref="A56:A61" si="29">IF(ISBLANK(G56),"",IF(G56&gt;0,"G","R")&amp;TEXT(ROW()-1,"00"))</f>
        <v>R55</v>
      </c>
      <c r="B56" s="1" t="str">
        <f t="shared" ref="B56:B61" si="30">IF(LEN(A56)&gt;0,VLOOKUP(MID(A56,1,1),Abbreviations,2,FALSE),"")</f>
        <v>Risk</v>
      </c>
      <c r="C56" s="1" t="s">
        <v>84</v>
      </c>
      <c r="E56" s="1" t="s">
        <v>107</v>
      </c>
      <c r="F56" s="1" t="s">
        <v>78</v>
      </c>
      <c r="G56" s="13">
        <v>-2</v>
      </c>
      <c r="H56" s="1" t="s">
        <v>104</v>
      </c>
    </row>
    <row r="57" spans="1:8" ht="32">
      <c r="A57" s="1" t="str">
        <f t="shared" ref="A57" si="31">IF(ISBLANK(G57),"",IF(G57&gt;0,"G","R")&amp;TEXT(ROW()-1,"00"))</f>
        <v>R56</v>
      </c>
      <c r="B57" s="1" t="str">
        <f t="shared" ref="B57:B60" si="32">IF(LEN(A57)&gt;0,VLOOKUP(MID(A57,1,1),Abbreviations,2,FALSE),"")</f>
        <v>Risk</v>
      </c>
      <c r="C57" s="1" t="s">
        <v>84</v>
      </c>
      <c r="E57" s="1" t="s">
        <v>107</v>
      </c>
      <c r="F57" s="1" t="s">
        <v>78</v>
      </c>
      <c r="G57" s="13">
        <v>-2</v>
      </c>
      <c r="H57" s="1" t="s">
        <v>105</v>
      </c>
    </row>
    <row r="58" spans="1:8" ht="16">
      <c r="A58" s="1" t="str">
        <f t="shared" si="29"/>
        <v>G57</v>
      </c>
      <c r="B58" s="1" t="str">
        <f t="shared" si="32"/>
        <v>Goal</v>
      </c>
      <c r="C58" s="1" t="s">
        <v>84</v>
      </c>
      <c r="E58" s="1" t="s">
        <v>107</v>
      </c>
      <c r="F58" s="1" t="s">
        <v>7</v>
      </c>
      <c r="G58" s="13">
        <v>1</v>
      </c>
      <c r="H58" s="15" t="s">
        <v>114</v>
      </c>
    </row>
    <row r="59" spans="1:8" ht="16">
      <c r="A59" s="1" t="str">
        <f t="shared" si="29"/>
        <v>R58</v>
      </c>
      <c r="B59" s="1" t="str">
        <f t="shared" si="32"/>
        <v>Risk</v>
      </c>
      <c r="C59" s="1" t="s">
        <v>84</v>
      </c>
      <c r="E59" s="1" t="s">
        <v>107</v>
      </c>
      <c r="F59" s="1" t="s">
        <v>7</v>
      </c>
      <c r="G59" s="13">
        <v>-1</v>
      </c>
      <c r="H59" s="15" t="s">
        <v>115</v>
      </c>
    </row>
    <row r="60" spans="1:8" ht="32">
      <c r="A60" s="1" t="str">
        <f t="shared" si="29"/>
        <v>G59</v>
      </c>
      <c r="B60" s="1" t="str">
        <f t="shared" si="32"/>
        <v>Goal</v>
      </c>
      <c r="C60" s="1" t="s">
        <v>84</v>
      </c>
      <c r="E60" s="1" t="s">
        <v>107</v>
      </c>
      <c r="F60" s="1" t="s">
        <v>8</v>
      </c>
      <c r="G60" s="13">
        <v>2</v>
      </c>
      <c r="H60" s="1" t="s">
        <v>113</v>
      </c>
    </row>
    <row r="61" spans="1:8" ht="16">
      <c r="A61" s="1" t="str">
        <f t="shared" si="29"/>
        <v>R60</v>
      </c>
      <c r="B61" s="1" t="str">
        <f t="shared" si="30"/>
        <v>Risk</v>
      </c>
      <c r="C61" s="1" t="s">
        <v>84</v>
      </c>
      <c r="E61" s="1" t="s">
        <v>107</v>
      </c>
      <c r="F61" s="1" t="s">
        <v>4</v>
      </c>
      <c r="G61" s="13">
        <v>-2</v>
      </c>
      <c r="H61" s="15" t="s">
        <v>109</v>
      </c>
    </row>
    <row r="62" spans="1:8" ht="16">
      <c r="A62" s="1" t="str">
        <f t="shared" si="20"/>
        <v>G61</v>
      </c>
      <c r="B62" s="1" t="str">
        <f t="shared" si="2"/>
        <v>Goal</v>
      </c>
      <c r="E62" s="1" t="s">
        <v>42</v>
      </c>
      <c r="F62" s="1" t="s">
        <v>1</v>
      </c>
      <c r="G62" s="13">
        <v>1</v>
      </c>
      <c r="H62" s="1" t="s">
        <v>110</v>
      </c>
    </row>
    <row r="63" spans="1:8" ht="16">
      <c r="A63" s="1" t="str">
        <f t="shared" si="20"/>
        <v>G62</v>
      </c>
      <c r="B63" s="1" t="str">
        <f t="shared" si="2"/>
        <v>Goal</v>
      </c>
      <c r="E63" s="1" t="s">
        <v>42</v>
      </c>
      <c r="F63" s="1" t="s">
        <v>5</v>
      </c>
      <c r="G63" s="13">
        <v>1</v>
      </c>
      <c r="H63" s="1" t="s">
        <v>111</v>
      </c>
    </row>
    <row r="64" spans="1:8" ht="16">
      <c r="A64" s="1" t="str">
        <f t="shared" si="20"/>
        <v>R63</v>
      </c>
      <c r="B64" s="1" t="str">
        <f t="shared" si="2"/>
        <v>Risk</v>
      </c>
      <c r="E64" s="1" t="s">
        <v>42</v>
      </c>
      <c r="F64" s="1" t="s">
        <v>4</v>
      </c>
      <c r="G64" s="13">
        <v>-1</v>
      </c>
      <c r="H64" s="1" t="s">
        <v>112</v>
      </c>
    </row>
    <row r="65" spans="1:7" ht="16">
      <c r="A65" s="1" t="str">
        <f t="shared" si="20"/>
        <v/>
      </c>
      <c r="B65" s="1" t="str">
        <f t="shared" si="2"/>
        <v/>
      </c>
      <c r="G65" s="13"/>
    </row>
    <row r="66" spans="1:7" ht="16">
      <c r="A66" s="1" t="str">
        <f t="shared" si="5"/>
        <v/>
      </c>
      <c r="B66" s="1" t="str">
        <f t="shared" si="2"/>
        <v/>
      </c>
      <c r="G66" s="13"/>
    </row>
    <row r="67" spans="1:7" ht="16">
      <c r="A67" s="1" t="str">
        <f t="shared" si="5"/>
        <v/>
      </c>
      <c r="B67" s="1" t="str">
        <f t="shared" si="2"/>
        <v/>
      </c>
      <c r="G67" s="13"/>
    </row>
    <row r="68" spans="1:7" ht="16">
      <c r="A68" s="1" t="str">
        <f t="shared" si="5"/>
        <v/>
      </c>
      <c r="B68" s="1" t="str">
        <f t="shared" si="2"/>
        <v/>
      </c>
      <c r="G68" s="13"/>
    </row>
    <row r="69" spans="1:7" ht="16">
      <c r="A69" s="1" t="str">
        <f t="shared" si="5"/>
        <v/>
      </c>
      <c r="B69" s="1" t="str">
        <f t="shared" si="2"/>
        <v/>
      </c>
      <c r="G69" s="13"/>
    </row>
    <row r="70" spans="1:7" ht="16">
      <c r="A70" s="1" t="str">
        <f t="shared" si="5"/>
        <v/>
      </c>
      <c r="B70" s="1" t="str">
        <f t="shared" si="2"/>
        <v/>
      </c>
      <c r="G70" s="13"/>
    </row>
    <row r="71" spans="1:7" ht="16">
      <c r="A71" s="1" t="str">
        <f t="shared" si="5"/>
        <v/>
      </c>
      <c r="B71" s="1" t="str">
        <f t="shared" si="2"/>
        <v/>
      </c>
      <c r="G71" s="13"/>
    </row>
    <row r="72" spans="1:7" ht="16">
      <c r="A72" s="1" t="str">
        <f t="shared" si="5"/>
        <v/>
      </c>
      <c r="B72" s="1" t="str">
        <f t="shared" si="2"/>
        <v/>
      </c>
      <c r="G72" s="13"/>
    </row>
    <row r="73" spans="1:7" ht="16">
      <c r="A73" s="1" t="str">
        <f t="shared" si="5"/>
        <v/>
      </c>
      <c r="B73" s="1" t="str">
        <f t="shared" si="2"/>
        <v/>
      </c>
      <c r="G73" s="13"/>
    </row>
    <row r="74" spans="1:7" ht="16">
      <c r="A74" s="1" t="str">
        <f t="shared" si="5"/>
        <v/>
      </c>
      <c r="B74" s="1" t="str">
        <f t="shared" si="2"/>
        <v/>
      </c>
      <c r="G74" s="13"/>
    </row>
    <row r="75" spans="1:7" ht="16">
      <c r="A75" s="1" t="str">
        <f t="shared" si="5"/>
        <v/>
      </c>
      <c r="B75" s="1" t="str">
        <f t="shared" ref="B75:B106" si="33">IF(LEN(A75)&gt;0,VLOOKUP(MID(A75,1,1),Abbreviations,2,FALSE),"")</f>
        <v/>
      </c>
      <c r="G75" s="13"/>
    </row>
    <row r="76" spans="1:7" ht="16">
      <c r="A76" s="1" t="str">
        <f t="shared" si="5"/>
        <v/>
      </c>
      <c r="B76" s="1" t="str">
        <f t="shared" si="33"/>
        <v/>
      </c>
      <c r="G76" s="13"/>
    </row>
    <row r="77" spans="1:7" ht="16">
      <c r="A77" s="1" t="str">
        <f t="shared" si="5"/>
        <v/>
      </c>
      <c r="B77" s="1" t="str">
        <f t="shared" si="33"/>
        <v/>
      </c>
      <c r="G77" s="13"/>
    </row>
    <row r="78" spans="1:7" ht="16">
      <c r="A78" s="1" t="str">
        <f t="shared" si="5"/>
        <v/>
      </c>
      <c r="B78" s="1" t="str">
        <f t="shared" si="33"/>
        <v/>
      </c>
      <c r="G78" s="13"/>
    </row>
    <row r="79" spans="1:7" ht="16">
      <c r="A79" s="1" t="str">
        <f t="shared" si="5"/>
        <v/>
      </c>
      <c r="B79" s="1" t="str">
        <f t="shared" si="33"/>
        <v/>
      </c>
    </row>
    <row r="80" spans="1:7" ht="16">
      <c r="A80" s="1" t="str">
        <f t="shared" si="5"/>
        <v/>
      </c>
      <c r="B80" s="1" t="str">
        <f t="shared" si="33"/>
        <v/>
      </c>
    </row>
    <row r="81" spans="1:2" ht="16">
      <c r="A81" s="1" t="str">
        <f t="shared" si="5"/>
        <v/>
      </c>
      <c r="B81" s="1" t="str">
        <f t="shared" si="33"/>
        <v/>
      </c>
    </row>
    <row r="82" spans="1:2" ht="16">
      <c r="A82" s="1" t="str">
        <f t="shared" si="5"/>
        <v/>
      </c>
      <c r="B82" s="1" t="str">
        <f t="shared" si="33"/>
        <v/>
      </c>
    </row>
    <row r="83" spans="1:2" ht="16">
      <c r="A83" s="1" t="str">
        <f t="shared" si="5"/>
        <v/>
      </c>
      <c r="B83" s="1" t="str">
        <f t="shared" si="33"/>
        <v/>
      </c>
    </row>
    <row r="84" spans="1:2" ht="16">
      <c r="A84" s="1" t="str">
        <f t="shared" si="5"/>
        <v/>
      </c>
      <c r="B84" s="1" t="str">
        <f t="shared" si="33"/>
        <v/>
      </c>
    </row>
    <row r="85" spans="1:2" ht="16">
      <c r="A85" s="1" t="str">
        <f t="shared" si="5"/>
        <v/>
      </c>
      <c r="B85" s="1" t="str">
        <f t="shared" si="33"/>
        <v/>
      </c>
    </row>
    <row r="86" spans="1:2" ht="16">
      <c r="A86" s="1" t="str">
        <f t="shared" si="5"/>
        <v/>
      </c>
      <c r="B86" s="1" t="str">
        <f t="shared" si="33"/>
        <v/>
      </c>
    </row>
    <row r="87" spans="1:2" ht="16">
      <c r="A87" s="1" t="str">
        <f t="shared" si="5"/>
        <v/>
      </c>
      <c r="B87" s="1" t="str">
        <f t="shared" si="33"/>
        <v/>
      </c>
    </row>
    <row r="88" spans="1:2" ht="16">
      <c r="A88" s="1" t="str">
        <f t="shared" si="5"/>
        <v/>
      </c>
      <c r="B88" s="1" t="str">
        <f t="shared" si="33"/>
        <v/>
      </c>
    </row>
    <row r="89" spans="1:2" ht="16">
      <c r="A89" s="1" t="str">
        <f t="shared" si="5"/>
        <v/>
      </c>
      <c r="B89" s="1" t="str">
        <f t="shared" si="33"/>
        <v/>
      </c>
    </row>
    <row r="90" spans="1:2" ht="16">
      <c r="A90" s="1" t="str">
        <f t="shared" si="5"/>
        <v/>
      </c>
      <c r="B90" s="1" t="str">
        <f t="shared" si="33"/>
        <v/>
      </c>
    </row>
    <row r="91" spans="1:2" ht="16">
      <c r="A91" s="1" t="str">
        <f t="shared" si="5"/>
        <v/>
      </c>
      <c r="B91" s="1" t="str">
        <f t="shared" si="33"/>
        <v/>
      </c>
    </row>
    <row r="92" spans="1:2" ht="16">
      <c r="A92" s="1" t="str">
        <f t="shared" si="5"/>
        <v/>
      </c>
      <c r="B92" s="1" t="str">
        <f t="shared" si="33"/>
        <v/>
      </c>
    </row>
    <row r="93" spans="1:2" ht="16">
      <c r="A93" s="1" t="str">
        <f t="shared" si="5"/>
        <v/>
      </c>
      <c r="B93" s="1" t="str">
        <f t="shared" si="33"/>
        <v/>
      </c>
    </row>
    <row r="94" spans="1:2" ht="16">
      <c r="A94" s="1" t="str">
        <f t="shared" si="5"/>
        <v/>
      </c>
      <c r="B94" s="1" t="str">
        <f t="shared" si="33"/>
        <v/>
      </c>
    </row>
    <row r="95" spans="1:2" ht="16">
      <c r="A95" s="1" t="str">
        <f t="shared" si="5"/>
        <v/>
      </c>
      <c r="B95" s="1" t="str">
        <f t="shared" si="33"/>
        <v/>
      </c>
    </row>
    <row r="96" spans="1:2" ht="16">
      <c r="A96" s="1" t="str">
        <f t="shared" si="5"/>
        <v/>
      </c>
      <c r="B96" s="1" t="str">
        <f t="shared" si="33"/>
        <v/>
      </c>
    </row>
    <row r="97" spans="1:2" ht="16">
      <c r="A97" s="1" t="str">
        <f t="shared" si="5"/>
        <v/>
      </c>
      <c r="B97" s="1" t="str">
        <f t="shared" si="33"/>
        <v/>
      </c>
    </row>
    <row r="98" spans="1:2" ht="16">
      <c r="A98" s="1" t="str">
        <f t="shared" si="5"/>
        <v/>
      </c>
      <c r="B98" s="1" t="str">
        <f t="shared" si="33"/>
        <v/>
      </c>
    </row>
    <row r="99" spans="1:2" ht="16">
      <c r="A99" s="1" t="str">
        <f t="shared" si="5"/>
        <v/>
      </c>
      <c r="B99" s="1" t="str">
        <f t="shared" si="33"/>
        <v/>
      </c>
    </row>
    <row r="100" spans="1:2" ht="16">
      <c r="A100" s="1" t="str">
        <f t="shared" si="5"/>
        <v/>
      </c>
      <c r="B100" s="1" t="str">
        <f t="shared" si="33"/>
        <v/>
      </c>
    </row>
    <row r="101" spans="1:2" ht="16">
      <c r="A101" s="1" t="str">
        <f t="shared" si="5"/>
        <v/>
      </c>
      <c r="B101" s="1" t="str">
        <f t="shared" si="33"/>
        <v/>
      </c>
    </row>
    <row r="102" spans="1:2" ht="16">
      <c r="A102" s="1" t="str">
        <f t="shared" si="5"/>
        <v/>
      </c>
      <c r="B102" s="1" t="str">
        <f t="shared" si="33"/>
        <v/>
      </c>
    </row>
    <row r="103" spans="1:2" ht="16">
      <c r="A103" s="1" t="str">
        <f t="shared" si="5"/>
        <v/>
      </c>
      <c r="B103" s="1" t="str">
        <f t="shared" si="33"/>
        <v/>
      </c>
    </row>
    <row r="104" spans="1:2" ht="16">
      <c r="A104" s="1" t="str">
        <f t="shared" si="5"/>
        <v/>
      </c>
      <c r="B104" s="1" t="str">
        <f t="shared" si="33"/>
        <v/>
      </c>
    </row>
    <row r="105" spans="1:2" ht="16">
      <c r="A105" s="1" t="str">
        <f t="shared" si="5"/>
        <v/>
      </c>
      <c r="B105" s="1" t="str">
        <f t="shared" si="33"/>
        <v/>
      </c>
    </row>
    <row r="106" spans="1:2" ht="16">
      <c r="A106" s="1" t="str">
        <f t="shared" si="5"/>
        <v/>
      </c>
      <c r="B106" s="1" t="str">
        <f t="shared" si="33"/>
        <v/>
      </c>
    </row>
    <row r="107" spans="1:2" ht="16">
      <c r="A107" s="1" t="str">
        <f t="shared" ref="A107:A159" si="34">IF(ISBLANK(G107),"",IF(G107&gt;0,"G","R")&amp;TEXT(ROW()-1,"00"))</f>
        <v/>
      </c>
      <c r="B107" s="1" t="str">
        <f t="shared" ref="B107:B138" si="35">IF(LEN(A107)&gt;0,VLOOKUP(MID(A107,1,1),Abbreviations,2,FALSE),"")</f>
        <v/>
      </c>
    </row>
    <row r="108" spans="1:2" ht="16">
      <c r="A108" s="1" t="str">
        <f t="shared" si="34"/>
        <v/>
      </c>
      <c r="B108" s="1" t="str">
        <f t="shared" si="35"/>
        <v/>
      </c>
    </row>
    <row r="109" spans="1:2" ht="16">
      <c r="A109" s="1" t="str">
        <f t="shared" si="34"/>
        <v/>
      </c>
      <c r="B109" s="1" t="str">
        <f t="shared" si="35"/>
        <v/>
      </c>
    </row>
    <row r="110" spans="1:2" ht="16">
      <c r="A110" s="1" t="str">
        <f t="shared" si="34"/>
        <v/>
      </c>
      <c r="B110" s="1" t="str">
        <f t="shared" si="35"/>
        <v/>
      </c>
    </row>
    <row r="111" spans="1:2" ht="16">
      <c r="A111" s="1" t="str">
        <f t="shared" si="34"/>
        <v/>
      </c>
      <c r="B111" s="1" t="str">
        <f t="shared" si="35"/>
        <v/>
      </c>
    </row>
    <row r="112" spans="1:2" ht="16">
      <c r="A112" s="1" t="str">
        <f t="shared" si="34"/>
        <v/>
      </c>
      <c r="B112" s="1" t="str">
        <f t="shared" si="35"/>
        <v/>
      </c>
    </row>
    <row r="113" spans="1:2" ht="16">
      <c r="A113" s="1" t="str">
        <f t="shared" si="34"/>
        <v/>
      </c>
      <c r="B113" s="1" t="str">
        <f t="shared" si="35"/>
        <v/>
      </c>
    </row>
    <row r="114" spans="1:2" ht="16">
      <c r="A114" s="1" t="str">
        <f t="shared" si="34"/>
        <v/>
      </c>
      <c r="B114" s="1" t="str">
        <f t="shared" si="35"/>
        <v/>
      </c>
    </row>
    <row r="115" spans="1:2" ht="16">
      <c r="A115" s="1" t="str">
        <f t="shared" si="34"/>
        <v/>
      </c>
      <c r="B115" s="1" t="str">
        <f t="shared" si="35"/>
        <v/>
      </c>
    </row>
    <row r="116" spans="1:2" ht="16">
      <c r="A116" s="1" t="str">
        <f t="shared" si="34"/>
        <v/>
      </c>
      <c r="B116" s="1" t="str">
        <f t="shared" si="35"/>
        <v/>
      </c>
    </row>
    <row r="117" spans="1:2" ht="16">
      <c r="A117" s="1" t="str">
        <f t="shared" si="34"/>
        <v/>
      </c>
      <c r="B117" s="1" t="str">
        <f t="shared" si="35"/>
        <v/>
      </c>
    </row>
    <row r="118" spans="1:2" ht="16">
      <c r="A118" s="1" t="str">
        <f t="shared" si="34"/>
        <v/>
      </c>
      <c r="B118" s="1" t="str">
        <f t="shared" si="35"/>
        <v/>
      </c>
    </row>
    <row r="119" spans="1:2" ht="16">
      <c r="A119" s="1" t="str">
        <f t="shared" si="34"/>
        <v/>
      </c>
      <c r="B119" s="1" t="str">
        <f t="shared" si="35"/>
        <v/>
      </c>
    </row>
    <row r="120" spans="1:2" ht="16">
      <c r="A120" s="1" t="str">
        <f t="shared" si="34"/>
        <v/>
      </c>
      <c r="B120" s="1" t="str">
        <f t="shared" si="35"/>
        <v/>
      </c>
    </row>
    <row r="121" spans="1:2" ht="16">
      <c r="A121" s="1" t="str">
        <f t="shared" si="34"/>
        <v/>
      </c>
      <c r="B121" s="1" t="str">
        <f t="shared" si="35"/>
        <v/>
      </c>
    </row>
    <row r="122" spans="1:2" ht="16">
      <c r="A122" s="1" t="str">
        <f t="shared" si="34"/>
        <v/>
      </c>
      <c r="B122" s="1" t="str">
        <f t="shared" si="35"/>
        <v/>
      </c>
    </row>
    <row r="123" spans="1:2" ht="16">
      <c r="A123" s="1" t="str">
        <f t="shared" si="34"/>
        <v/>
      </c>
      <c r="B123" s="1" t="str">
        <f t="shared" si="35"/>
        <v/>
      </c>
    </row>
    <row r="124" spans="1:2" ht="16">
      <c r="A124" s="1" t="str">
        <f t="shared" si="34"/>
        <v/>
      </c>
      <c r="B124" s="1" t="str">
        <f t="shared" si="35"/>
        <v/>
      </c>
    </row>
    <row r="125" spans="1:2" ht="16">
      <c r="A125" s="1" t="str">
        <f t="shared" si="34"/>
        <v/>
      </c>
      <c r="B125" s="1" t="str">
        <f t="shared" si="35"/>
        <v/>
      </c>
    </row>
    <row r="126" spans="1:2" ht="16">
      <c r="A126" s="1" t="str">
        <f t="shared" si="34"/>
        <v/>
      </c>
      <c r="B126" s="1" t="str">
        <f t="shared" si="35"/>
        <v/>
      </c>
    </row>
    <row r="127" spans="1:2" ht="16">
      <c r="A127" s="1" t="str">
        <f t="shared" si="34"/>
        <v/>
      </c>
      <c r="B127" s="1" t="str">
        <f t="shared" si="35"/>
        <v/>
      </c>
    </row>
    <row r="128" spans="1:2" ht="16">
      <c r="A128" s="1" t="str">
        <f t="shared" si="34"/>
        <v/>
      </c>
      <c r="B128" s="1" t="str">
        <f t="shared" si="35"/>
        <v/>
      </c>
    </row>
    <row r="129" spans="1:2" ht="16">
      <c r="A129" s="1" t="str">
        <f t="shared" si="34"/>
        <v/>
      </c>
      <c r="B129" s="1" t="str">
        <f t="shared" si="35"/>
        <v/>
      </c>
    </row>
    <row r="130" spans="1:2" ht="16">
      <c r="A130" s="1" t="str">
        <f t="shared" si="34"/>
        <v/>
      </c>
      <c r="B130" s="1" t="str">
        <f t="shared" si="35"/>
        <v/>
      </c>
    </row>
    <row r="131" spans="1:2" ht="16">
      <c r="A131" s="1" t="str">
        <f t="shared" si="34"/>
        <v/>
      </c>
      <c r="B131" s="1" t="str">
        <f t="shared" si="35"/>
        <v/>
      </c>
    </row>
    <row r="132" spans="1:2" ht="16">
      <c r="A132" s="1" t="str">
        <f t="shared" si="34"/>
        <v/>
      </c>
      <c r="B132" s="1" t="str">
        <f t="shared" si="35"/>
        <v/>
      </c>
    </row>
    <row r="133" spans="1:2" ht="16">
      <c r="A133" s="1" t="str">
        <f t="shared" si="34"/>
        <v/>
      </c>
      <c r="B133" s="1" t="str">
        <f t="shared" si="35"/>
        <v/>
      </c>
    </row>
    <row r="134" spans="1:2" ht="16">
      <c r="A134" s="1" t="str">
        <f t="shared" si="34"/>
        <v/>
      </c>
      <c r="B134" s="1" t="str">
        <f t="shared" si="35"/>
        <v/>
      </c>
    </row>
    <row r="135" spans="1:2" ht="16">
      <c r="A135" s="1" t="str">
        <f t="shared" si="34"/>
        <v/>
      </c>
      <c r="B135" s="1" t="str">
        <f t="shared" si="35"/>
        <v/>
      </c>
    </row>
    <row r="136" spans="1:2" ht="16">
      <c r="A136" s="1" t="str">
        <f t="shared" si="34"/>
        <v/>
      </c>
      <c r="B136" s="1" t="str">
        <f t="shared" si="35"/>
        <v/>
      </c>
    </row>
    <row r="137" spans="1:2" ht="16">
      <c r="A137" s="1" t="str">
        <f t="shared" si="34"/>
        <v/>
      </c>
      <c r="B137" s="1" t="str">
        <f t="shared" si="35"/>
        <v/>
      </c>
    </row>
    <row r="138" spans="1:2" ht="16">
      <c r="A138" s="1" t="str">
        <f t="shared" si="34"/>
        <v/>
      </c>
      <c r="B138" s="1" t="str">
        <f t="shared" si="35"/>
        <v/>
      </c>
    </row>
    <row r="139" spans="1:2" ht="16">
      <c r="A139" s="1" t="str">
        <f t="shared" si="34"/>
        <v/>
      </c>
      <c r="B139" s="1" t="str">
        <f t="shared" ref="B139:B159" si="36">IF(LEN(A139)&gt;0,VLOOKUP(MID(A139,1,1),Abbreviations,2,FALSE),"")</f>
        <v/>
      </c>
    </row>
    <row r="140" spans="1:2" ht="16">
      <c r="A140" s="1" t="str">
        <f t="shared" si="34"/>
        <v/>
      </c>
      <c r="B140" s="1" t="str">
        <f t="shared" si="36"/>
        <v/>
      </c>
    </row>
    <row r="141" spans="1:2" ht="16">
      <c r="A141" s="1" t="str">
        <f t="shared" si="34"/>
        <v/>
      </c>
      <c r="B141" s="1" t="str">
        <f t="shared" si="36"/>
        <v/>
      </c>
    </row>
    <row r="142" spans="1:2" ht="16">
      <c r="A142" s="1" t="str">
        <f t="shared" si="34"/>
        <v/>
      </c>
      <c r="B142" s="1" t="str">
        <f t="shared" si="36"/>
        <v/>
      </c>
    </row>
    <row r="143" spans="1:2" ht="16">
      <c r="A143" s="1" t="str">
        <f t="shared" si="34"/>
        <v/>
      </c>
      <c r="B143" s="1" t="str">
        <f t="shared" si="36"/>
        <v/>
      </c>
    </row>
    <row r="144" spans="1:2" ht="16">
      <c r="A144" s="1" t="str">
        <f t="shared" si="34"/>
        <v/>
      </c>
      <c r="B144" s="1" t="str">
        <f t="shared" si="36"/>
        <v/>
      </c>
    </row>
    <row r="145" spans="1:2" ht="16">
      <c r="A145" s="1" t="str">
        <f t="shared" si="34"/>
        <v/>
      </c>
      <c r="B145" s="1" t="str">
        <f t="shared" si="36"/>
        <v/>
      </c>
    </row>
    <row r="146" spans="1:2" ht="16">
      <c r="A146" s="1" t="str">
        <f t="shared" si="34"/>
        <v/>
      </c>
      <c r="B146" s="1" t="str">
        <f t="shared" si="36"/>
        <v/>
      </c>
    </row>
    <row r="147" spans="1:2" ht="16">
      <c r="A147" s="1" t="str">
        <f t="shared" si="34"/>
        <v/>
      </c>
      <c r="B147" s="1" t="str">
        <f t="shared" si="36"/>
        <v/>
      </c>
    </row>
    <row r="148" spans="1:2" ht="16">
      <c r="A148" s="1" t="str">
        <f t="shared" si="34"/>
        <v/>
      </c>
      <c r="B148" s="1" t="str">
        <f t="shared" si="36"/>
        <v/>
      </c>
    </row>
    <row r="149" spans="1:2" ht="16">
      <c r="A149" s="1" t="str">
        <f t="shared" si="34"/>
        <v/>
      </c>
      <c r="B149" s="1" t="str">
        <f t="shared" si="36"/>
        <v/>
      </c>
    </row>
    <row r="150" spans="1:2" ht="16">
      <c r="A150" s="1" t="str">
        <f t="shared" si="34"/>
        <v/>
      </c>
      <c r="B150" s="1" t="str">
        <f t="shared" si="36"/>
        <v/>
      </c>
    </row>
    <row r="151" spans="1:2" ht="16">
      <c r="A151" s="1" t="str">
        <f t="shared" si="34"/>
        <v/>
      </c>
      <c r="B151" s="1" t="str">
        <f t="shared" si="36"/>
        <v/>
      </c>
    </row>
    <row r="152" spans="1:2" ht="16">
      <c r="A152" s="1" t="str">
        <f t="shared" si="34"/>
        <v/>
      </c>
      <c r="B152" s="1" t="str">
        <f t="shared" si="36"/>
        <v/>
      </c>
    </row>
    <row r="153" spans="1:2" ht="16">
      <c r="A153" s="1" t="str">
        <f t="shared" si="34"/>
        <v/>
      </c>
      <c r="B153" s="1" t="str">
        <f t="shared" si="36"/>
        <v/>
      </c>
    </row>
    <row r="154" spans="1:2" ht="16">
      <c r="A154" s="1" t="str">
        <f t="shared" si="34"/>
        <v/>
      </c>
      <c r="B154" s="1" t="str">
        <f t="shared" si="36"/>
        <v/>
      </c>
    </row>
    <row r="155" spans="1:2" ht="16">
      <c r="A155" s="1" t="str">
        <f t="shared" si="34"/>
        <v/>
      </c>
      <c r="B155" s="1" t="str">
        <f t="shared" si="36"/>
        <v/>
      </c>
    </row>
    <row r="156" spans="1:2" ht="16">
      <c r="A156" s="1" t="str">
        <f t="shared" si="34"/>
        <v/>
      </c>
      <c r="B156" s="1" t="str">
        <f t="shared" si="36"/>
        <v/>
      </c>
    </row>
    <row r="157" spans="1:2" ht="16">
      <c r="A157" s="1" t="str">
        <f t="shared" si="34"/>
        <v/>
      </c>
      <c r="B157" s="1" t="str">
        <f t="shared" si="36"/>
        <v/>
      </c>
    </row>
    <row r="158" spans="1:2" ht="16">
      <c r="A158" s="1" t="str">
        <f t="shared" si="34"/>
        <v/>
      </c>
      <c r="B158" s="1" t="str">
        <f t="shared" si="36"/>
        <v/>
      </c>
    </row>
    <row r="159" spans="1:2" ht="16">
      <c r="A159" s="1" t="str">
        <f t="shared" si="34"/>
        <v/>
      </c>
      <c r="B159" s="1" t="str">
        <f t="shared" si="36"/>
        <v/>
      </c>
    </row>
  </sheetData>
  <sheetProtection sheet="1" objects="1" scenarios="1" formatColumns="0" formatRows="0"/>
  <autoFilter ref="A1:H159" xr:uid="{00000000-0009-0000-0000-000001000000}"/>
  <conditionalFormatting sqref="G54:G140 G5:G52">
    <cfRule type="colorScale" priority="5">
      <colorScale>
        <cfvo type="num" val="-2"/>
        <cfvo type="num" val="0"/>
        <cfvo type="num" val="2"/>
        <color rgb="FFF8696B"/>
        <color rgb="FFFCFCFF"/>
        <color rgb="FF63BE7B"/>
      </colorScale>
    </cfRule>
  </conditionalFormatting>
  <conditionalFormatting sqref="G2:G3">
    <cfRule type="colorScale" priority="3">
      <colorScale>
        <cfvo type="num" val="-2"/>
        <cfvo type="num" val="0"/>
        <cfvo type="num" val="2"/>
        <color rgb="FFF8696B"/>
        <color rgb="FFFCFCFF"/>
        <color rgb="FF63BE7B"/>
      </colorScale>
    </cfRule>
  </conditionalFormatting>
  <conditionalFormatting sqref="G53">
    <cfRule type="colorScale" priority="2">
      <colorScale>
        <cfvo type="num" val="-2"/>
        <cfvo type="num" val="0"/>
        <cfvo type="num" val="2"/>
        <color rgb="FFF8696B"/>
        <color rgb="FFFCFCFF"/>
        <color rgb="FF63BE7B"/>
      </colorScale>
    </cfRule>
  </conditionalFormatting>
  <conditionalFormatting sqref="G4">
    <cfRule type="colorScale" priority="1">
      <colorScale>
        <cfvo type="num" val="-2"/>
        <cfvo type="num" val="0"/>
        <cfvo type="num" val="2"/>
        <color rgb="FFF8696B"/>
        <color rgb="FFFCFCFF"/>
        <color rgb="FF63BE7B"/>
      </colorScale>
    </cfRule>
  </conditionalFormatting>
  <dataValidations count="4">
    <dataValidation type="list" allowBlank="1" showInputMessage="1" showErrorMessage="1" error="Bitte gültigen Typ eingeben!" sqref="F5:F6" xr:uid="{00000000-0002-0000-0100-000000000000}">
      <formula1>Dimensions</formula1>
    </dataValidation>
    <dataValidation type="list" allowBlank="1" showInputMessage="1" showErrorMessage="1" sqref="F2:F4 F7:F158" xr:uid="{00000000-0002-0000-0100-000001000000}">
      <formula1>Dimensions</formula1>
    </dataValidation>
    <dataValidation type="list" allowBlank="1" showInputMessage="1" showErrorMessage="1" sqref="C2:D13 C17:D158" xr:uid="{00000000-0002-0000-0100-000002000000}">
      <formula1>Scenarios</formula1>
    </dataValidation>
    <dataValidation type="list" allowBlank="1" showInputMessage="1" showErrorMessage="1" sqref="E2:E160" xr:uid="{00000000-0002-0000-0100-000003000000}">
      <formula1>Stakeholders</formula1>
    </dataValidation>
  </dataValidations>
  <pageMargins left="0.7" right="0.7" top="0.78740157499999996" bottom="0.78740157499999996" header="0.3" footer="0.3"/>
  <pageSetup paperSize="9" orientation="portrait" horizontalDpi="4294967293"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9"/>
  <dimension ref="A1:KN1000"/>
  <sheetViews>
    <sheetView zoomScaleNormal="100" workbookViewId="0">
      <selection activeCell="I6" sqref="I6"/>
    </sheetView>
  </sheetViews>
  <sheetFormatPr baseColWidth="10" defaultColWidth="11.5" defaultRowHeight="15"/>
  <cols>
    <col min="1" max="1" width="6.5" style="10" customWidth="1"/>
    <col min="2" max="2" width="55.83203125" style="1" customWidth="1"/>
    <col min="3" max="3" width="9.83203125" style="1" customWidth="1"/>
    <col min="4" max="4" width="4.83203125" style="1" customWidth="1"/>
    <col min="5" max="40" width="4.6640625" style="1" customWidth="1"/>
    <col min="41" max="64" width="4.83203125" style="1" customWidth="1"/>
    <col min="65" max="78" width="5.5" style="1" customWidth="1"/>
    <col min="79" max="16384" width="11.5" style="1"/>
  </cols>
  <sheetData>
    <row r="1" spans="1:300" s="59" customFormat="1" ht="7.25" customHeight="1">
      <c r="A1" s="58"/>
    </row>
    <row r="2" spans="1:300" s="21" customFormat="1" ht="9.5" customHeight="1" thickBot="1">
      <c r="A2" s="61"/>
      <c r="B2" s="23"/>
      <c r="C2" s="23"/>
      <c r="D2" s="23"/>
      <c r="E2" s="23"/>
      <c r="F2" s="23"/>
      <c r="G2" s="23"/>
      <c r="H2" s="23"/>
      <c r="I2" s="23"/>
      <c r="J2" s="23"/>
      <c r="K2" s="23"/>
      <c r="L2" s="23"/>
      <c r="M2" s="23"/>
      <c r="N2" s="23"/>
      <c r="O2" s="23"/>
      <c r="P2" s="23"/>
      <c r="Q2" s="23"/>
      <c r="R2" s="23"/>
      <c r="S2" s="60"/>
      <c r="T2" s="60"/>
      <c r="U2" s="60"/>
      <c r="V2" s="60"/>
      <c r="W2" s="60"/>
      <c r="X2" s="60"/>
      <c r="Y2" s="60"/>
      <c r="Z2" s="60"/>
      <c r="AA2" s="60"/>
      <c r="AB2" s="60"/>
      <c r="AC2" s="60"/>
      <c r="AD2" s="60"/>
      <c r="AE2" s="60"/>
      <c r="AF2" s="60"/>
      <c r="AG2" s="60"/>
      <c r="AH2" s="60"/>
      <c r="AI2" s="60"/>
      <c r="AJ2" s="60"/>
      <c r="AK2" s="60"/>
      <c r="AL2" s="60"/>
      <c r="AM2" s="60"/>
      <c r="AN2" s="60"/>
      <c r="AO2" s="60"/>
      <c r="AP2" s="60"/>
      <c r="AQ2" s="60"/>
      <c r="AR2" s="60"/>
      <c r="AS2" s="60"/>
      <c r="AT2" s="60"/>
      <c r="AU2" s="60"/>
      <c r="AV2" s="60"/>
      <c r="AW2" s="60"/>
      <c r="AX2" s="60"/>
      <c r="AY2" s="60"/>
      <c r="AZ2" s="60"/>
      <c r="BA2" s="60"/>
      <c r="BB2" s="60"/>
    </row>
    <row r="3" spans="1:300" s="21" customFormat="1" ht="16" thickBot="1">
      <c r="A3" s="62">
        <v>13</v>
      </c>
      <c r="B3" s="23"/>
      <c r="C3" s="24" t="s">
        <v>122</v>
      </c>
      <c r="D3" s="23"/>
      <c r="E3" s="70" t="s">
        <v>40</v>
      </c>
      <c r="F3" s="71"/>
      <c r="G3" s="71"/>
      <c r="H3" s="71"/>
      <c r="I3" s="72"/>
      <c r="J3" s="23"/>
      <c r="K3" s="24" t="s">
        <v>123</v>
      </c>
      <c r="L3" s="23"/>
      <c r="M3" s="23"/>
      <c r="N3" s="70"/>
      <c r="O3" s="71"/>
      <c r="P3" s="71"/>
      <c r="Q3" s="72"/>
      <c r="R3" s="23"/>
      <c r="S3" s="60"/>
      <c r="T3" s="60"/>
      <c r="U3" s="60"/>
      <c r="V3" s="60"/>
      <c r="W3" s="60"/>
      <c r="X3" s="60"/>
      <c r="Y3" s="60"/>
      <c r="Z3" s="60"/>
      <c r="AA3" s="60"/>
      <c r="AB3" s="60"/>
      <c r="AC3" s="60"/>
      <c r="AD3" s="60"/>
      <c r="AE3" s="60"/>
      <c r="AF3" s="60"/>
      <c r="AG3" s="60"/>
      <c r="AH3" s="60"/>
      <c r="AI3" s="60"/>
      <c r="AJ3" s="60"/>
      <c r="AK3" s="60"/>
      <c r="AL3" s="60"/>
      <c r="AM3" s="60"/>
      <c r="AN3" s="60"/>
      <c r="AO3" s="60"/>
      <c r="AP3" s="60"/>
      <c r="AQ3" s="60"/>
      <c r="AR3" s="60"/>
      <c r="AS3" s="60"/>
      <c r="AT3" s="60"/>
      <c r="AU3" s="60"/>
      <c r="AV3" s="60"/>
      <c r="AW3" s="60"/>
      <c r="AX3" s="60"/>
      <c r="AY3" s="60"/>
      <c r="AZ3" s="60"/>
      <c r="BA3" s="60"/>
      <c r="BB3" s="60"/>
    </row>
    <row r="4" spans="1:300" s="21" customFormat="1" ht="8.5" customHeight="1">
      <c r="A4" s="61"/>
      <c r="B4" s="23"/>
      <c r="C4" s="24"/>
      <c r="D4" s="23"/>
      <c r="E4" s="25"/>
      <c r="F4" s="25"/>
      <c r="G4" s="25"/>
      <c r="H4" s="25"/>
      <c r="I4" s="25"/>
      <c r="J4" s="25"/>
      <c r="K4" s="25"/>
      <c r="L4" s="25"/>
      <c r="M4" s="25"/>
      <c r="N4" s="25"/>
      <c r="O4" s="25"/>
      <c r="P4" s="25"/>
      <c r="Q4" s="25"/>
      <c r="R4" s="25"/>
      <c r="S4" s="60"/>
      <c r="T4" s="60"/>
      <c r="U4" s="60"/>
      <c r="V4" s="60"/>
      <c r="W4" s="60"/>
      <c r="X4" s="60"/>
      <c r="Y4" s="60"/>
      <c r="Z4" s="60"/>
      <c r="AA4" s="60"/>
      <c r="AB4" s="60"/>
      <c r="AC4" s="60"/>
      <c r="AD4" s="60"/>
      <c r="AE4" s="60"/>
      <c r="AF4" s="60"/>
      <c r="AG4" s="60"/>
      <c r="AH4" s="60"/>
      <c r="AI4" s="60"/>
      <c r="AJ4" s="60"/>
      <c r="AK4" s="60"/>
      <c r="AL4" s="60"/>
      <c r="AM4" s="60"/>
      <c r="AN4" s="60"/>
      <c r="AO4" s="60"/>
      <c r="AP4" s="60"/>
      <c r="AQ4" s="60"/>
      <c r="AR4" s="60"/>
      <c r="AS4" s="60"/>
      <c r="AT4" s="60"/>
      <c r="AU4" s="60"/>
      <c r="AV4" s="60"/>
      <c r="AW4" s="60"/>
      <c r="AX4" s="60"/>
      <c r="AY4" s="60"/>
      <c r="AZ4" s="60"/>
      <c r="BA4" s="60"/>
      <c r="BB4" s="60"/>
    </row>
    <row r="5" spans="1:300" s="60" customFormat="1" ht="15" customHeight="1">
      <c r="A5" s="61"/>
      <c r="D5" s="63">
        <v>1</v>
      </c>
      <c r="E5" s="63">
        <f>D5+1</f>
        <v>2</v>
      </c>
      <c r="F5" s="63">
        <f t="shared" ref="F5:AB5" si="0">E5+1</f>
        <v>3</v>
      </c>
      <c r="G5" s="63">
        <f t="shared" si="0"/>
        <v>4</v>
      </c>
      <c r="H5" s="63">
        <f t="shared" si="0"/>
        <v>5</v>
      </c>
      <c r="I5" s="63">
        <f t="shared" si="0"/>
        <v>6</v>
      </c>
      <c r="J5" s="63">
        <f t="shared" si="0"/>
        <v>7</v>
      </c>
      <c r="K5" s="63">
        <f t="shared" si="0"/>
        <v>8</v>
      </c>
      <c r="L5" s="63">
        <f t="shared" si="0"/>
        <v>9</v>
      </c>
      <c r="M5" s="63">
        <f t="shared" si="0"/>
        <v>10</v>
      </c>
      <c r="N5" s="63">
        <f t="shared" si="0"/>
        <v>11</v>
      </c>
      <c r="O5" s="63">
        <f t="shared" si="0"/>
        <v>12</v>
      </c>
      <c r="P5" s="63">
        <f t="shared" si="0"/>
        <v>13</v>
      </c>
      <c r="Q5" s="63">
        <f t="shared" si="0"/>
        <v>14</v>
      </c>
      <c r="R5" s="63">
        <f t="shared" si="0"/>
        <v>15</v>
      </c>
      <c r="S5" s="63">
        <f t="shared" si="0"/>
        <v>16</v>
      </c>
      <c r="T5" s="63">
        <f t="shared" si="0"/>
        <v>17</v>
      </c>
      <c r="U5" s="63">
        <f t="shared" si="0"/>
        <v>18</v>
      </c>
      <c r="V5" s="63">
        <f t="shared" si="0"/>
        <v>19</v>
      </c>
      <c r="W5" s="63">
        <f t="shared" si="0"/>
        <v>20</v>
      </c>
      <c r="X5" s="63">
        <f t="shared" si="0"/>
        <v>21</v>
      </c>
      <c r="Y5" s="63">
        <f t="shared" si="0"/>
        <v>22</v>
      </c>
      <c r="Z5" s="63">
        <f t="shared" si="0"/>
        <v>23</v>
      </c>
      <c r="AA5" s="63">
        <f t="shared" si="0"/>
        <v>24</v>
      </c>
      <c r="AB5" s="63">
        <f t="shared" si="0"/>
        <v>25</v>
      </c>
    </row>
    <row r="6" spans="1:300" ht="22.75" customHeight="1" thickBot="1">
      <c r="A6" s="22" t="s">
        <v>30</v>
      </c>
      <c r="B6" s="2" t="s">
        <v>116</v>
      </c>
      <c r="C6" s="2" t="s">
        <v>15</v>
      </c>
      <c r="D6" s="80" t="s">
        <v>272</v>
      </c>
      <c r="E6" s="79" t="s">
        <v>273</v>
      </c>
      <c r="F6" s="29" t="s">
        <v>274</v>
      </c>
      <c r="G6" s="79" t="s">
        <v>275</v>
      </c>
      <c r="H6" s="79" t="s">
        <v>276</v>
      </c>
      <c r="I6" s="80" t="s">
        <v>277</v>
      </c>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s="27"/>
      <c r="CB6" s="27"/>
      <c r="CC6" s="27"/>
      <c r="CD6" s="27"/>
      <c r="CE6" s="27"/>
      <c r="CF6" s="27"/>
      <c r="CG6" s="27"/>
      <c r="CH6" s="27"/>
      <c r="CI6" s="27"/>
      <c r="CJ6" s="27"/>
      <c r="CK6" s="27"/>
      <c r="CL6" s="27"/>
      <c r="CM6" s="27"/>
      <c r="CN6" s="27"/>
      <c r="CO6" s="27"/>
      <c r="CP6" s="27"/>
      <c r="CQ6" s="27"/>
      <c r="CR6" s="27"/>
      <c r="CS6" s="27"/>
      <c r="CT6" s="27"/>
      <c r="CU6" s="27"/>
      <c r="CV6" s="27"/>
      <c r="CW6" s="27"/>
      <c r="CX6" s="27"/>
      <c r="CY6" s="15"/>
      <c r="CZ6" s="15"/>
      <c r="DA6" s="15"/>
      <c r="DB6" s="15"/>
      <c r="DC6" s="15"/>
      <c r="DD6" s="15"/>
      <c r="DE6" s="15"/>
      <c r="DF6" s="15"/>
      <c r="DG6" s="15"/>
      <c r="DH6" s="15"/>
      <c r="DI6" s="15"/>
      <c r="DJ6" s="15"/>
      <c r="DK6" s="15"/>
      <c r="DL6" s="15"/>
      <c r="DM6" s="15"/>
      <c r="DN6" s="15"/>
      <c r="DO6" s="15"/>
      <c r="DP6" s="15"/>
      <c r="DQ6" s="15"/>
      <c r="DR6" s="15"/>
      <c r="DS6" s="15"/>
      <c r="DT6" s="15"/>
      <c r="DU6" s="15"/>
      <c r="DV6" s="15"/>
      <c r="DW6" s="15"/>
      <c r="DX6" s="15"/>
      <c r="DY6" s="15"/>
      <c r="DZ6" s="15"/>
      <c r="EA6" s="15"/>
      <c r="EB6" s="15"/>
      <c r="EC6" s="15"/>
      <c r="ED6" s="15"/>
      <c r="EE6" s="15"/>
      <c r="EF6" s="15"/>
      <c r="EG6" s="15"/>
      <c r="EH6" s="15"/>
      <c r="EI6" s="15"/>
      <c r="EJ6" s="15"/>
      <c r="EK6" s="15"/>
      <c r="EL6" s="15"/>
      <c r="EM6" s="15"/>
      <c r="EN6" s="15"/>
      <c r="EO6" s="15"/>
      <c r="EP6" s="15"/>
      <c r="EQ6" s="15"/>
      <c r="ER6" s="15"/>
      <c r="ES6" s="15"/>
      <c r="ET6" s="15"/>
      <c r="EU6" s="15"/>
      <c r="EV6" s="15"/>
      <c r="EW6" s="15"/>
      <c r="EX6" s="15"/>
      <c r="EY6" s="15"/>
      <c r="EZ6" s="15"/>
      <c r="FA6" s="15"/>
      <c r="FB6" s="15"/>
      <c r="FC6" s="15"/>
      <c r="FD6" s="15"/>
      <c r="FE6" s="15"/>
      <c r="FF6" s="15"/>
      <c r="FG6" s="15"/>
      <c r="FH6" s="15"/>
      <c r="FI6" s="15"/>
      <c r="FJ6" s="15"/>
      <c r="FK6" s="15"/>
      <c r="FL6" s="15"/>
      <c r="FM6" s="15"/>
      <c r="FN6" s="15"/>
      <c r="FO6" s="15"/>
      <c r="FP6" s="15"/>
      <c r="FQ6" s="15"/>
      <c r="FR6" s="15"/>
      <c r="FS6" s="15"/>
      <c r="FT6" s="15"/>
      <c r="FU6" s="15"/>
      <c r="FV6" s="15"/>
      <c r="FW6" s="15"/>
      <c r="FX6" s="15"/>
      <c r="FY6" s="15"/>
      <c r="FZ6" s="15"/>
      <c r="GA6" s="15"/>
      <c r="GB6" s="15"/>
      <c r="GC6" s="15"/>
      <c r="GD6" s="15"/>
      <c r="GE6" s="15"/>
      <c r="GF6" s="15"/>
      <c r="GG6" s="15"/>
      <c r="GH6" s="15"/>
      <c r="GI6" s="15"/>
      <c r="GJ6" s="15"/>
      <c r="GK6" s="15"/>
      <c r="GL6" s="15"/>
      <c r="GM6" s="15"/>
      <c r="GN6" s="15"/>
      <c r="GO6" s="15"/>
      <c r="GP6" s="15"/>
      <c r="GQ6" s="15"/>
      <c r="GR6" s="15"/>
      <c r="GS6" s="15"/>
      <c r="GT6" s="15"/>
      <c r="GU6" s="15"/>
      <c r="GV6" s="15"/>
      <c r="GW6" s="15"/>
      <c r="GX6" s="15"/>
      <c r="GY6" s="15"/>
      <c r="GZ6" s="15"/>
      <c r="HA6" s="15"/>
      <c r="HB6" s="15"/>
      <c r="HC6" s="15"/>
      <c r="HD6" s="15"/>
      <c r="HE6" s="15"/>
      <c r="HF6" s="15"/>
      <c r="HG6" s="15"/>
      <c r="HH6" s="15"/>
      <c r="HI6" s="15"/>
      <c r="HJ6" s="15"/>
      <c r="HK6" s="15"/>
      <c r="HL6" s="15"/>
      <c r="HM6" s="15"/>
      <c r="HN6" s="15"/>
      <c r="HO6" s="15"/>
      <c r="HP6" s="15"/>
      <c r="HQ6" s="15"/>
      <c r="HR6" s="15"/>
      <c r="HS6" s="15"/>
      <c r="HT6" s="15"/>
      <c r="HU6" s="15"/>
      <c r="HV6" s="15"/>
      <c r="HW6" s="15"/>
      <c r="HX6" s="15"/>
      <c r="HY6" s="15"/>
      <c r="HZ6" s="15"/>
      <c r="IA6" s="15"/>
      <c r="IB6" s="15"/>
      <c r="IC6" s="15"/>
      <c r="ID6" s="15"/>
      <c r="IE6" s="15"/>
      <c r="IF6" s="15"/>
      <c r="IG6" s="15"/>
      <c r="IH6" s="15"/>
      <c r="II6" s="15"/>
      <c r="IJ6" s="15"/>
      <c r="IK6" s="15"/>
      <c r="IL6" s="15"/>
      <c r="IM6" s="15"/>
      <c r="IN6" s="15"/>
      <c r="IO6" s="15"/>
      <c r="IP6" s="15"/>
      <c r="IQ6" s="15"/>
      <c r="IR6" s="15"/>
      <c r="IS6" s="15"/>
      <c r="IT6" s="15"/>
      <c r="IU6" s="15"/>
      <c r="IV6" s="15"/>
      <c r="IW6" s="15"/>
      <c r="IX6" s="15"/>
      <c r="IY6" s="15"/>
      <c r="IZ6" s="15"/>
      <c r="JA6" s="15"/>
      <c r="JB6" s="15"/>
      <c r="JC6" s="15"/>
      <c r="JD6" s="15"/>
      <c r="JE6" s="15"/>
      <c r="JF6" s="15"/>
      <c r="JG6" s="15"/>
      <c r="JH6" s="15"/>
      <c r="JI6" s="15"/>
      <c r="JJ6" s="15"/>
      <c r="JK6" s="15"/>
      <c r="JL6" s="15"/>
      <c r="JM6" s="15"/>
      <c r="JN6" s="15"/>
      <c r="JO6" s="15"/>
      <c r="JP6" s="15"/>
      <c r="JQ6" s="15"/>
      <c r="JR6" s="15"/>
      <c r="JS6" s="15"/>
      <c r="JT6" s="15"/>
      <c r="JU6" s="15"/>
      <c r="JV6" s="15"/>
      <c r="JW6" s="15"/>
      <c r="JX6" s="15"/>
      <c r="JY6" s="15"/>
      <c r="JZ6" s="15"/>
      <c r="KA6" s="15"/>
      <c r="KB6" s="15"/>
      <c r="KC6" s="15"/>
      <c r="KD6" s="15"/>
      <c r="KE6" s="15"/>
      <c r="KF6" s="15"/>
      <c r="KG6" s="15"/>
      <c r="KH6" s="15"/>
      <c r="KI6" s="15"/>
      <c r="KJ6" s="15"/>
      <c r="KK6" s="15"/>
      <c r="KL6" s="15"/>
      <c r="KM6" s="15"/>
      <c r="KN6" s="15"/>
    </row>
    <row r="7" spans="1:300" ht="65" thickTop="1">
      <c r="A7" s="10" t="str">
        <f>IF(ISBLANK(B7),"","RQ"&amp;TEXT(ROW()-6,"000"))</f>
        <v>RQ001</v>
      </c>
      <c r="B7" s="26" t="s">
        <v>119</v>
      </c>
      <c r="C7" s="26"/>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s="26"/>
    </row>
    <row r="8" spans="1:300" ht="65.5" customHeight="1">
      <c r="A8" s="10" t="str">
        <f t="shared" ref="A8:A9" si="1">IF(ISBLANK(B8),"","RQ"&amp;TEXT(ROW()-6,"000"))</f>
        <v>RQ002</v>
      </c>
      <c r="B8" s="26" t="s">
        <v>230</v>
      </c>
      <c r="C8" s="26" t="s">
        <v>70</v>
      </c>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s="26"/>
    </row>
    <row r="9" spans="1:300" ht="32">
      <c r="A9" s="10" t="str">
        <f t="shared" si="1"/>
        <v>RQ003</v>
      </c>
      <c r="B9" s="26" t="s">
        <v>120</v>
      </c>
      <c r="C9" s="26" t="s">
        <v>84</v>
      </c>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s="26"/>
    </row>
    <row r="10" spans="1:300" ht="48">
      <c r="A10" s="10" t="s">
        <v>141</v>
      </c>
      <c r="B10" s="26" t="s">
        <v>236</v>
      </c>
      <c r="C10" s="26" t="s">
        <v>71</v>
      </c>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s="26"/>
    </row>
    <row r="11" spans="1:300" ht="32">
      <c r="A11" s="10" t="s">
        <v>253</v>
      </c>
      <c r="B11" s="26" t="s">
        <v>254</v>
      </c>
      <c r="C11" s="26" t="s">
        <v>71</v>
      </c>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row>
    <row r="12" spans="1:300" ht="16">
      <c r="A12" s="10" t="s">
        <v>255</v>
      </c>
      <c r="B12" s="26" t="s">
        <v>257</v>
      </c>
      <c r="C12" s="26" t="s">
        <v>256</v>
      </c>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row>
    <row r="13" spans="1:300" ht="32">
      <c r="A13" s="10" t="s">
        <v>258</v>
      </c>
      <c r="B13" s="26" t="s">
        <v>259</v>
      </c>
      <c r="C13" s="26"/>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row>
    <row r="14" spans="1:300" ht="16">
      <c r="A14" s="10" t="s">
        <v>260</v>
      </c>
      <c r="B14" s="26" t="s">
        <v>261</v>
      </c>
      <c r="C14" s="26"/>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row>
    <row r="15" spans="1:300" ht="32">
      <c r="A15" s="10" t="s">
        <v>262</v>
      </c>
      <c r="B15" s="26" t="s">
        <v>268</v>
      </c>
      <c r="C15" s="26"/>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row>
    <row r="16" spans="1:300" ht="16">
      <c r="A16" s="10" t="s">
        <v>263</v>
      </c>
      <c r="B16" s="26" t="s">
        <v>264</v>
      </c>
      <c r="C16" s="2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row>
    <row r="17" spans="1:78" ht="32">
      <c r="A17" s="10" t="s">
        <v>265</v>
      </c>
      <c r="B17" s="26" t="s">
        <v>266</v>
      </c>
      <c r="C17" s="26"/>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row>
    <row r="18" spans="1:78" ht="16">
      <c r="A18" s="10" t="s">
        <v>267</v>
      </c>
      <c r="B18" s="26" t="s">
        <v>269</v>
      </c>
      <c r="C18" s="26"/>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row>
    <row r="19" spans="1:78" ht="16">
      <c r="A19" s="10" t="s">
        <v>270</v>
      </c>
      <c r="B19" s="26" t="s">
        <v>271</v>
      </c>
      <c r="C19" s="26"/>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row>
    <row r="20" spans="1:78" ht="16">
      <c r="A20" s="10" t="str">
        <f t="shared" ref="A20:A38" si="2">IF(ISBLANK(B20),"","RQ"&amp;TEXT(ROW()-4,"000"))</f>
        <v/>
      </c>
      <c r="B20" s="26"/>
      <c r="C20" s="26"/>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row>
    <row r="21" spans="1:78" ht="16">
      <c r="A21" s="10" t="str">
        <f t="shared" si="2"/>
        <v/>
      </c>
      <c r="B21" s="26"/>
      <c r="C21" s="26"/>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row>
    <row r="22" spans="1:78" ht="16">
      <c r="A22" s="10" t="str">
        <f t="shared" si="2"/>
        <v/>
      </c>
      <c r="B22" s="26"/>
      <c r="C22" s="26"/>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row>
    <row r="23" spans="1:78" ht="16">
      <c r="A23" s="10" t="str">
        <f t="shared" si="2"/>
        <v/>
      </c>
      <c r="B23" s="26"/>
      <c r="C23" s="26"/>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row>
    <row r="24" spans="1:78" ht="16">
      <c r="A24" s="10" t="str">
        <f t="shared" si="2"/>
        <v/>
      </c>
      <c r="B24" s="26"/>
      <c r="C24" s="26"/>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row>
    <row r="25" spans="1:78" ht="16">
      <c r="A25" s="10" t="str">
        <f t="shared" si="2"/>
        <v/>
      </c>
      <c r="B25" s="26"/>
      <c r="C25" s="26"/>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row>
    <row r="26" spans="1:78" ht="16">
      <c r="A26" s="10" t="str">
        <f t="shared" si="2"/>
        <v/>
      </c>
      <c r="B26" s="26"/>
      <c r="C26" s="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row>
    <row r="27" spans="1:78" ht="16">
      <c r="A27" s="10" t="str">
        <f t="shared" si="2"/>
        <v/>
      </c>
      <c r="B27" s="26"/>
      <c r="C27" s="26"/>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row>
    <row r="28" spans="1:78" ht="16">
      <c r="A28" s="10" t="str">
        <f t="shared" si="2"/>
        <v/>
      </c>
      <c r="B28" s="26"/>
      <c r="C28" s="26"/>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row>
    <row r="29" spans="1:78" ht="16">
      <c r="A29" s="10" t="str">
        <f t="shared" si="2"/>
        <v/>
      </c>
      <c r="B29" s="26"/>
      <c r="C29" s="26"/>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row>
    <row r="30" spans="1:78" ht="16">
      <c r="A30" s="10" t="str">
        <f t="shared" si="2"/>
        <v/>
      </c>
      <c r="B30" s="26"/>
      <c r="C30" s="26"/>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row>
    <row r="31" spans="1:78" ht="16">
      <c r="A31" s="10" t="str">
        <f t="shared" si="2"/>
        <v/>
      </c>
      <c r="B31" s="26"/>
      <c r="C31" s="26"/>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row>
    <row r="32" spans="1:78" ht="16">
      <c r="A32" s="10" t="str">
        <f t="shared" si="2"/>
        <v/>
      </c>
      <c r="B32" s="26"/>
      <c r="C32" s="26"/>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row>
    <row r="33" spans="1:78" ht="16">
      <c r="A33" s="10" t="str">
        <f t="shared" si="2"/>
        <v/>
      </c>
      <c r="B33" s="26"/>
      <c r="C33" s="26"/>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row>
    <row r="34" spans="1:78" ht="16">
      <c r="A34" s="10" t="str">
        <f t="shared" si="2"/>
        <v/>
      </c>
      <c r="B34" s="26"/>
      <c r="C34" s="26"/>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row>
    <row r="35" spans="1:78" ht="16">
      <c r="A35" s="10" t="str">
        <f t="shared" si="2"/>
        <v/>
      </c>
      <c r="B35" s="26"/>
      <c r="C35" s="26"/>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row>
    <row r="36" spans="1:78" ht="16">
      <c r="A36" s="10" t="str">
        <f t="shared" si="2"/>
        <v/>
      </c>
      <c r="B36" s="26"/>
      <c r="C36" s="2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row>
    <row r="37" spans="1:78" ht="16">
      <c r="A37" s="10" t="str">
        <f t="shared" si="2"/>
        <v/>
      </c>
      <c r="B37" s="26"/>
      <c r="C37" s="26"/>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row>
    <row r="38" spans="1:78" ht="16">
      <c r="A38" s="10" t="str">
        <f t="shared" si="2"/>
        <v/>
      </c>
      <c r="B38" s="26"/>
      <c r="C38" s="26"/>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row>
    <row r="39" spans="1:78" ht="16">
      <c r="A39" s="10" t="str">
        <f t="shared" ref="A39:A79" si="3">IF(ISBLANK(B39),"","RQ"&amp;TEXT(ROW()-4,"000"))</f>
        <v/>
      </c>
      <c r="B39" s="26"/>
      <c r="C39" s="26"/>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row>
    <row r="40" spans="1:78" ht="16">
      <c r="A40" s="10" t="str">
        <f t="shared" si="3"/>
        <v/>
      </c>
      <c r="B40" s="26"/>
      <c r="C40" s="26"/>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row>
    <row r="41" spans="1:78" ht="16">
      <c r="A41" s="10" t="str">
        <f t="shared" si="3"/>
        <v/>
      </c>
      <c r="B41" s="26"/>
      <c r="C41" s="26"/>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row>
    <row r="42" spans="1:78" ht="16">
      <c r="A42" s="10" t="str">
        <f t="shared" si="3"/>
        <v/>
      </c>
      <c r="B42" s="26"/>
      <c r="C42" s="26"/>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row>
    <row r="43" spans="1:78" ht="16">
      <c r="A43" s="10" t="str">
        <f t="shared" si="3"/>
        <v/>
      </c>
      <c r="B43" s="26"/>
      <c r="C43" s="26"/>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row>
    <row r="44" spans="1:78" ht="16">
      <c r="A44" s="10" t="str">
        <f t="shared" si="3"/>
        <v/>
      </c>
      <c r="B44" s="26"/>
      <c r="C44" s="26"/>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row>
    <row r="45" spans="1:78" ht="16">
      <c r="A45" s="10" t="str">
        <f t="shared" si="3"/>
        <v/>
      </c>
      <c r="B45" s="26"/>
      <c r="C45" s="26"/>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row>
    <row r="46" spans="1:78" ht="16">
      <c r="A46" s="10" t="str">
        <f t="shared" si="3"/>
        <v/>
      </c>
      <c r="B46" s="26"/>
      <c r="C46" s="2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row>
    <row r="47" spans="1:78" ht="16">
      <c r="A47" s="10" t="str">
        <f t="shared" si="3"/>
        <v/>
      </c>
      <c r="B47" s="26"/>
      <c r="C47" s="26"/>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row>
    <row r="48" spans="1:78" ht="16">
      <c r="A48" s="10" t="str">
        <f t="shared" si="3"/>
        <v/>
      </c>
      <c r="B48" s="26"/>
      <c r="C48" s="26"/>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row>
    <row r="49" spans="1:78" ht="16">
      <c r="A49" s="10" t="str">
        <f t="shared" si="3"/>
        <v/>
      </c>
      <c r="B49" s="26"/>
      <c r="C49" s="26"/>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row>
    <row r="50" spans="1:78" ht="16">
      <c r="A50" s="10" t="str">
        <f t="shared" si="3"/>
        <v/>
      </c>
      <c r="B50" s="26"/>
      <c r="C50" s="26"/>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row>
    <row r="51" spans="1:78" ht="16">
      <c r="A51" s="10" t="str">
        <f t="shared" si="3"/>
        <v/>
      </c>
      <c r="B51" s="26"/>
      <c r="C51" s="26"/>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row>
    <row r="52" spans="1:78" ht="16">
      <c r="A52" s="10" t="str">
        <f t="shared" si="3"/>
        <v/>
      </c>
      <c r="B52" s="26"/>
      <c r="C52" s="26"/>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row>
    <row r="53" spans="1:78" ht="16">
      <c r="A53" s="10" t="str">
        <f t="shared" si="3"/>
        <v/>
      </c>
      <c r="B53" s="26"/>
      <c r="C53" s="26"/>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row>
    <row r="54" spans="1:78" ht="16">
      <c r="A54" s="10" t="str">
        <f t="shared" si="3"/>
        <v/>
      </c>
      <c r="B54" s="26"/>
      <c r="C54" s="26"/>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row>
    <row r="55" spans="1:78" ht="16">
      <c r="A55" s="10" t="str">
        <f t="shared" si="3"/>
        <v/>
      </c>
      <c r="B55" s="26"/>
      <c r="C55" s="26"/>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row>
    <row r="56" spans="1:78" ht="16">
      <c r="A56" s="10" t="str">
        <f t="shared" si="3"/>
        <v/>
      </c>
      <c r="B56" s="26"/>
      <c r="C56" s="2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row>
    <row r="57" spans="1:78" ht="16">
      <c r="A57" s="10" t="str">
        <f t="shared" si="3"/>
        <v/>
      </c>
      <c r="B57" s="26"/>
      <c r="C57" s="26"/>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row>
    <row r="58" spans="1:78" ht="16">
      <c r="A58" s="10" t="str">
        <f t="shared" si="3"/>
        <v/>
      </c>
      <c r="B58" s="26"/>
      <c r="C58" s="26"/>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row>
    <row r="59" spans="1:78" ht="16">
      <c r="A59" s="10" t="str">
        <f t="shared" si="3"/>
        <v/>
      </c>
      <c r="B59" s="26"/>
      <c r="C59" s="26"/>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row>
    <row r="60" spans="1:78" ht="16">
      <c r="A60" s="10" t="str">
        <f t="shared" si="3"/>
        <v/>
      </c>
      <c r="B60" s="26"/>
      <c r="C60" s="26"/>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row>
    <row r="61" spans="1:78" ht="16">
      <c r="A61" s="10" t="str">
        <f t="shared" si="3"/>
        <v/>
      </c>
      <c r="B61" s="26"/>
      <c r="C61" s="26"/>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row>
    <row r="62" spans="1:78" ht="16">
      <c r="A62" s="10" t="str">
        <f t="shared" si="3"/>
        <v/>
      </c>
      <c r="B62" s="26"/>
      <c r="C62" s="26"/>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row>
    <row r="63" spans="1:78" ht="16">
      <c r="A63" s="10" t="str">
        <f t="shared" si="3"/>
        <v/>
      </c>
      <c r="B63" s="26"/>
      <c r="C63" s="26"/>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row>
    <row r="64" spans="1:78" ht="16">
      <c r="A64" s="10" t="str">
        <f t="shared" si="3"/>
        <v/>
      </c>
      <c r="B64" s="26"/>
      <c r="C64" s="26"/>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row>
    <row r="65" spans="1:78" ht="16">
      <c r="A65" s="10" t="str">
        <f t="shared" si="3"/>
        <v/>
      </c>
      <c r="B65" s="26"/>
      <c r="C65" s="26"/>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row>
    <row r="66" spans="1:78" ht="16">
      <c r="A66" s="10" t="str">
        <f t="shared" si="3"/>
        <v/>
      </c>
      <c r="B66" s="26"/>
      <c r="C66" s="2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row>
    <row r="67" spans="1:78" ht="16">
      <c r="A67" s="10" t="str">
        <f t="shared" si="3"/>
        <v/>
      </c>
      <c r="B67" s="26"/>
      <c r="C67" s="26"/>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row>
    <row r="68" spans="1:78" ht="16">
      <c r="A68" s="10" t="str">
        <f t="shared" si="3"/>
        <v/>
      </c>
      <c r="B68" s="26"/>
      <c r="C68" s="26"/>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row>
    <row r="69" spans="1:78" ht="16">
      <c r="A69" s="10" t="str">
        <f t="shared" si="3"/>
        <v/>
      </c>
      <c r="B69" s="26"/>
      <c r="C69" s="26"/>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row>
    <row r="70" spans="1:78" ht="16">
      <c r="A70" s="10" t="str">
        <f t="shared" si="3"/>
        <v/>
      </c>
      <c r="B70" s="26"/>
      <c r="C70" s="26"/>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row>
    <row r="71" spans="1:78" ht="16">
      <c r="A71" s="10" t="str">
        <f t="shared" si="3"/>
        <v/>
      </c>
      <c r="B71" s="26"/>
      <c r="C71" s="26"/>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row>
    <row r="72" spans="1:78" ht="16">
      <c r="A72" s="10" t="str">
        <f t="shared" si="3"/>
        <v/>
      </c>
      <c r="B72" s="26"/>
      <c r="C72" s="26"/>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row>
    <row r="73" spans="1:78" ht="16">
      <c r="A73" s="10" t="str">
        <f t="shared" si="3"/>
        <v/>
      </c>
      <c r="B73" s="26"/>
      <c r="C73" s="26"/>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row>
    <row r="74" spans="1:78" ht="16">
      <c r="A74" s="10" t="str">
        <f t="shared" si="3"/>
        <v/>
      </c>
      <c r="B74" s="26"/>
      <c r="C74" s="26"/>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row>
    <row r="75" spans="1:78" ht="16">
      <c r="A75" s="10" t="str">
        <f t="shared" si="3"/>
        <v/>
      </c>
      <c r="B75" s="26"/>
      <c r="C75" s="26"/>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row>
    <row r="76" spans="1:78" ht="16">
      <c r="A76" s="10" t="str">
        <f t="shared" si="3"/>
        <v/>
      </c>
      <c r="B76" s="26"/>
      <c r="C76" s="2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row>
    <row r="77" spans="1:78" ht="16">
      <c r="A77" s="10" t="str">
        <f t="shared" si="3"/>
        <v/>
      </c>
      <c r="B77" s="26"/>
      <c r="C77" s="26"/>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row>
    <row r="78" spans="1:78" ht="16">
      <c r="A78" s="10" t="str">
        <f t="shared" si="3"/>
        <v/>
      </c>
      <c r="B78" s="26"/>
      <c r="C78" s="26"/>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row>
    <row r="79" spans="1:78" ht="16">
      <c r="A79" s="10" t="str">
        <f t="shared" si="3"/>
        <v/>
      </c>
      <c r="B79" s="26"/>
      <c r="C79" s="26"/>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row>
    <row r="80" spans="1:78" ht="16">
      <c r="A80" s="10" t="str">
        <f t="shared" ref="A80:A102" si="4">IF(ISBLANK(B80),"","RQ"&amp;TEXT(ROW()-3,"000"))</f>
        <v/>
      </c>
      <c r="B80" s="26"/>
      <c r="C80" s="26"/>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row>
    <row r="81" spans="1:78" ht="16">
      <c r="A81" s="10" t="str">
        <f t="shared" si="4"/>
        <v/>
      </c>
      <c r="B81" s="26"/>
      <c r="C81" s="26"/>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row>
    <row r="82" spans="1:78" ht="16">
      <c r="A82" s="10" t="str">
        <f t="shared" si="4"/>
        <v/>
      </c>
      <c r="B82" s="26"/>
      <c r="C82" s="26"/>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row>
    <row r="83" spans="1:78" ht="16">
      <c r="A83" s="10" t="str">
        <f t="shared" si="4"/>
        <v/>
      </c>
      <c r="B83" s="26"/>
      <c r="C83" s="26"/>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row>
    <row r="84" spans="1:78" ht="16">
      <c r="A84" s="10" t="str">
        <f t="shared" si="4"/>
        <v/>
      </c>
      <c r="B84" s="26"/>
      <c r="C84" s="26"/>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row>
    <row r="85" spans="1:78" ht="16">
      <c r="A85" s="10" t="str">
        <f t="shared" si="4"/>
        <v/>
      </c>
      <c r="B85" s="26"/>
      <c r="C85" s="26"/>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row>
    <row r="86" spans="1:78" ht="16">
      <c r="A86" s="10" t="str">
        <f t="shared" si="4"/>
        <v/>
      </c>
      <c r="B86" s="26"/>
      <c r="C86" s="2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row>
    <row r="87" spans="1:78" ht="16">
      <c r="A87" s="10" t="str">
        <f t="shared" si="4"/>
        <v/>
      </c>
      <c r="B87" s="26"/>
      <c r="C87" s="26"/>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row>
    <row r="88" spans="1:78" ht="16">
      <c r="A88" s="10" t="str">
        <f t="shared" si="4"/>
        <v/>
      </c>
      <c r="B88" s="26"/>
      <c r="C88" s="26"/>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row>
    <row r="89" spans="1:78" ht="16">
      <c r="A89" s="10" t="str">
        <f t="shared" si="4"/>
        <v/>
      </c>
      <c r="B89" s="26"/>
      <c r="C89" s="26"/>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row>
    <row r="90" spans="1:78" ht="16">
      <c r="A90" s="10" t="str">
        <f t="shared" si="4"/>
        <v/>
      </c>
      <c r="B90" s="26"/>
      <c r="C90" s="26"/>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row>
    <row r="91" spans="1:78" ht="16">
      <c r="A91" s="10" t="str">
        <f t="shared" si="4"/>
        <v/>
      </c>
      <c r="B91" s="26"/>
      <c r="C91" s="26"/>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row>
    <row r="92" spans="1:78" ht="16">
      <c r="A92" s="10" t="str">
        <f t="shared" si="4"/>
        <v/>
      </c>
      <c r="B92" s="26"/>
      <c r="C92" s="26"/>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row>
    <row r="93" spans="1:78" ht="16">
      <c r="A93" s="10" t="str">
        <f t="shared" si="4"/>
        <v/>
      </c>
      <c r="B93" s="26"/>
      <c r="C93" s="26"/>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row>
    <row r="94" spans="1:78" ht="16">
      <c r="A94" s="10" t="str">
        <f t="shared" si="4"/>
        <v/>
      </c>
      <c r="B94" s="26"/>
      <c r="C94" s="26"/>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row>
    <row r="95" spans="1:78" ht="16">
      <c r="A95" s="10" t="str">
        <f t="shared" si="4"/>
        <v/>
      </c>
      <c r="B95" s="26"/>
      <c r="C95" s="26"/>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row>
    <row r="96" spans="1:78" ht="16">
      <c r="A96" s="10" t="str">
        <f t="shared" si="4"/>
        <v/>
      </c>
      <c r="B96" s="26"/>
      <c r="C96" s="2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row>
    <row r="97" spans="1:78" ht="16">
      <c r="A97" s="10" t="str">
        <f t="shared" si="4"/>
        <v/>
      </c>
      <c r="B97" s="26"/>
      <c r="C97" s="26"/>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row>
    <row r="98" spans="1:78" ht="16">
      <c r="A98" s="10" t="str">
        <f t="shared" si="4"/>
        <v/>
      </c>
      <c r="B98" s="26"/>
      <c r="C98" s="26"/>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row>
    <row r="99" spans="1:78" ht="16">
      <c r="A99" s="10" t="str">
        <f t="shared" si="4"/>
        <v/>
      </c>
      <c r="B99" s="26"/>
      <c r="C99" s="26"/>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row>
    <row r="100" spans="1:78" ht="16">
      <c r="A100" s="10" t="str">
        <f t="shared" si="4"/>
        <v/>
      </c>
      <c r="B100" s="26"/>
      <c r="C100" s="26"/>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row>
    <row r="101" spans="1:78" ht="16">
      <c r="A101" s="10" t="str">
        <f t="shared" si="4"/>
        <v/>
      </c>
      <c r="B101" s="26"/>
      <c r="C101" s="26"/>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row>
    <row r="102" spans="1:78" ht="16">
      <c r="A102" s="10" t="str">
        <f t="shared" si="4"/>
        <v/>
      </c>
      <c r="B102" s="26"/>
      <c r="C102" s="26"/>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row>
    <row r="103" spans="1:78" ht="16">
      <c r="A103" s="10" t="str">
        <f t="shared" ref="A103:A166" si="5">IF(ISBLANK(B103),"","RQ"&amp;TEXT(ROW()-3,"000"))</f>
        <v/>
      </c>
      <c r="B103" s="26"/>
      <c r="C103" s="26"/>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row>
    <row r="104" spans="1:78" ht="16">
      <c r="A104" s="10" t="str">
        <f t="shared" si="5"/>
        <v/>
      </c>
      <c r="B104" s="26"/>
      <c r="C104" s="26"/>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row>
    <row r="105" spans="1:78" ht="16">
      <c r="A105" s="10" t="str">
        <f t="shared" si="5"/>
        <v/>
      </c>
      <c r="B105" s="26"/>
      <c r="C105" s="26"/>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row>
    <row r="106" spans="1:78" ht="16">
      <c r="A106" s="10" t="str">
        <f t="shared" si="5"/>
        <v/>
      </c>
      <c r="B106" s="26"/>
      <c r="C106" s="2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row>
    <row r="107" spans="1:78" ht="16">
      <c r="A107" s="10" t="str">
        <f t="shared" si="5"/>
        <v/>
      </c>
      <c r="B107" s="26"/>
      <c r="C107" s="26"/>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row>
    <row r="108" spans="1:78" ht="16">
      <c r="A108" s="10" t="str">
        <f t="shared" si="5"/>
        <v/>
      </c>
      <c r="B108" s="26"/>
      <c r="C108" s="26"/>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row>
    <row r="109" spans="1:78" ht="16">
      <c r="A109" s="10" t="str">
        <f t="shared" si="5"/>
        <v/>
      </c>
      <c r="B109" s="26"/>
      <c r="C109" s="26"/>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row>
    <row r="110" spans="1:78" ht="16">
      <c r="A110" s="10" t="str">
        <f t="shared" si="5"/>
        <v/>
      </c>
      <c r="B110" s="26"/>
      <c r="C110" s="26"/>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row>
    <row r="111" spans="1:78" ht="16">
      <c r="A111" s="10" t="str">
        <f t="shared" si="5"/>
        <v/>
      </c>
      <c r="B111" s="26"/>
      <c r="C111" s="26"/>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row>
    <row r="112" spans="1:78" ht="16">
      <c r="A112" s="10" t="str">
        <f t="shared" si="5"/>
        <v/>
      </c>
      <c r="B112" s="26"/>
      <c r="C112" s="26"/>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row>
    <row r="113" spans="1:78" ht="16">
      <c r="A113" s="10" t="str">
        <f t="shared" si="5"/>
        <v/>
      </c>
      <c r="B113" s="26"/>
      <c r="C113" s="26"/>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row>
    <row r="114" spans="1:78" ht="16">
      <c r="A114" s="10" t="str">
        <f t="shared" si="5"/>
        <v/>
      </c>
      <c r="B114" s="26"/>
      <c r="C114" s="26"/>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row>
    <row r="115" spans="1:78" ht="16">
      <c r="A115" s="10" t="str">
        <f t="shared" si="5"/>
        <v/>
      </c>
      <c r="B115" s="26"/>
      <c r="C115" s="26"/>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row>
    <row r="116" spans="1:78" ht="16">
      <c r="A116" s="10" t="str">
        <f t="shared" si="5"/>
        <v/>
      </c>
      <c r="B116" s="26"/>
      <c r="C116" s="2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row>
    <row r="117" spans="1:78" ht="16">
      <c r="A117" s="10" t="str">
        <f t="shared" si="5"/>
        <v/>
      </c>
      <c r="B117" s="26"/>
      <c r="C117" s="26"/>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row>
    <row r="118" spans="1:78" ht="16">
      <c r="A118" s="10" t="str">
        <f t="shared" si="5"/>
        <v/>
      </c>
      <c r="B118" s="26"/>
      <c r="C118" s="26"/>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row>
    <row r="119" spans="1:78" ht="16">
      <c r="A119" s="10" t="str">
        <f t="shared" si="5"/>
        <v/>
      </c>
      <c r="B119" s="26"/>
      <c r="C119" s="26"/>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row>
    <row r="120" spans="1:78" ht="16">
      <c r="A120" s="10" t="str">
        <f t="shared" si="5"/>
        <v/>
      </c>
      <c r="B120" s="26"/>
      <c r="C120" s="26"/>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row>
    <row r="121" spans="1:78" ht="16">
      <c r="A121" s="10" t="str">
        <f t="shared" si="5"/>
        <v/>
      </c>
      <c r="B121" s="26"/>
      <c r="C121" s="26"/>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row>
    <row r="122" spans="1:78" ht="16">
      <c r="A122" s="10" t="str">
        <f t="shared" si="5"/>
        <v/>
      </c>
      <c r="B122" s="26"/>
      <c r="C122" s="26"/>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row>
    <row r="123" spans="1:78" ht="16">
      <c r="A123" s="10" t="str">
        <f t="shared" si="5"/>
        <v/>
      </c>
      <c r="B123" s="26"/>
      <c r="C123" s="26"/>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row>
    <row r="124" spans="1:78" ht="16">
      <c r="A124" s="10" t="str">
        <f t="shared" si="5"/>
        <v/>
      </c>
      <c r="B124" s="26"/>
      <c r="C124" s="26"/>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row>
    <row r="125" spans="1:78" ht="16">
      <c r="A125" s="10" t="str">
        <f t="shared" si="5"/>
        <v/>
      </c>
      <c r="B125" s="26"/>
      <c r="C125" s="26"/>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row>
    <row r="126" spans="1:78" ht="16">
      <c r="A126" s="10" t="str">
        <f t="shared" si="5"/>
        <v/>
      </c>
      <c r="B126" s="26"/>
      <c r="C126" s="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row>
    <row r="127" spans="1:78" ht="16">
      <c r="A127" s="10" t="str">
        <f t="shared" si="5"/>
        <v/>
      </c>
      <c r="B127" s="26"/>
      <c r="C127" s="26"/>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row>
    <row r="128" spans="1:78" ht="16">
      <c r="A128" s="10" t="str">
        <f t="shared" si="5"/>
        <v/>
      </c>
      <c r="B128" s="26"/>
      <c r="C128" s="26"/>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row>
    <row r="129" spans="1:78" ht="16">
      <c r="A129" s="10" t="str">
        <f t="shared" si="5"/>
        <v/>
      </c>
      <c r="B129" s="26"/>
      <c r="C129" s="26"/>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row>
    <row r="130" spans="1:78" ht="16">
      <c r="A130" s="10" t="str">
        <f t="shared" si="5"/>
        <v/>
      </c>
      <c r="B130" s="26"/>
      <c r="C130" s="26"/>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row>
    <row r="131" spans="1:78" ht="16">
      <c r="A131" s="10" t="str">
        <f t="shared" si="5"/>
        <v/>
      </c>
      <c r="B131" s="26"/>
      <c r="C131" s="26"/>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row>
    <row r="132" spans="1:78" ht="16">
      <c r="A132" s="10" t="str">
        <f t="shared" si="5"/>
        <v/>
      </c>
      <c r="B132" s="26"/>
      <c r="C132" s="26"/>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row>
    <row r="133" spans="1:78" ht="16">
      <c r="A133" s="10" t="str">
        <f t="shared" si="5"/>
        <v/>
      </c>
      <c r="B133" s="26"/>
      <c r="C133" s="26"/>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row>
    <row r="134" spans="1:78" ht="16">
      <c r="A134" s="10" t="str">
        <f t="shared" si="5"/>
        <v/>
      </c>
      <c r="B134" s="26"/>
      <c r="C134" s="26"/>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row>
    <row r="135" spans="1:78" ht="16">
      <c r="A135" s="10" t="str">
        <f t="shared" si="5"/>
        <v/>
      </c>
      <c r="B135" s="26"/>
      <c r="C135" s="26"/>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row>
    <row r="136" spans="1:78" ht="16">
      <c r="A136" s="10" t="str">
        <f t="shared" si="5"/>
        <v/>
      </c>
      <c r="B136" s="26"/>
      <c r="C136" s="2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row>
    <row r="137" spans="1:78" ht="16">
      <c r="A137" s="10" t="str">
        <f t="shared" si="5"/>
        <v/>
      </c>
      <c r="B137" s="26"/>
      <c r="C137" s="26"/>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row>
    <row r="138" spans="1:78" ht="16">
      <c r="A138" s="10" t="str">
        <f t="shared" si="5"/>
        <v/>
      </c>
      <c r="B138" s="26"/>
      <c r="C138" s="26"/>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row>
    <row r="139" spans="1:78" ht="16">
      <c r="A139" s="10" t="str">
        <f t="shared" si="5"/>
        <v/>
      </c>
      <c r="B139" s="26"/>
      <c r="C139" s="26"/>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row>
    <row r="140" spans="1:78" ht="16">
      <c r="A140" s="10" t="str">
        <f t="shared" si="5"/>
        <v/>
      </c>
      <c r="B140" s="26"/>
      <c r="C140" s="26"/>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row>
    <row r="141" spans="1:78" ht="16">
      <c r="A141" s="10" t="str">
        <f t="shared" si="5"/>
        <v/>
      </c>
      <c r="B141" s="26"/>
      <c r="C141" s="26"/>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row>
    <row r="142" spans="1:78" ht="16">
      <c r="A142" s="10" t="str">
        <f t="shared" si="5"/>
        <v/>
      </c>
      <c r="B142" s="26"/>
      <c r="C142" s="26"/>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row>
    <row r="143" spans="1:78" ht="16">
      <c r="A143" s="10" t="str">
        <f t="shared" si="5"/>
        <v/>
      </c>
      <c r="B143" s="26"/>
      <c r="C143" s="26"/>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row>
    <row r="144" spans="1:78" ht="16">
      <c r="A144" s="10" t="str">
        <f t="shared" si="5"/>
        <v/>
      </c>
      <c r="B144" s="26"/>
      <c r="C144" s="26"/>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row>
    <row r="145" spans="1:78" ht="16">
      <c r="A145" s="10" t="str">
        <f t="shared" si="5"/>
        <v/>
      </c>
      <c r="B145" s="26"/>
      <c r="C145" s="26"/>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row>
    <row r="146" spans="1:78" ht="16">
      <c r="A146" s="10" t="str">
        <f t="shared" si="5"/>
        <v/>
      </c>
      <c r="B146" s="26"/>
      <c r="C146" s="2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row>
    <row r="147" spans="1:78" ht="16">
      <c r="A147" s="10" t="str">
        <f t="shared" si="5"/>
        <v/>
      </c>
      <c r="B147" s="26"/>
      <c r="C147" s="26"/>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row>
    <row r="148" spans="1:78" ht="16">
      <c r="A148" s="10" t="str">
        <f t="shared" si="5"/>
        <v/>
      </c>
      <c r="B148" s="26"/>
      <c r="C148" s="26"/>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row>
    <row r="149" spans="1:78" ht="16">
      <c r="A149" s="10" t="str">
        <f t="shared" si="5"/>
        <v/>
      </c>
      <c r="B149" s="26"/>
      <c r="C149" s="26"/>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row>
    <row r="150" spans="1:78" ht="16">
      <c r="A150" s="10" t="str">
        <f t="shared" si="5"/>
        <v/>
      </c>
      <c r="B150" s="26"/>
      <c r="C150" s="26"/>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row>
    <row r="151" spans="1:78" ht="16">
      <c r="A151" s="10" t="str">
        <f t="shared" si="5"/>
        <v/>
      </c>
      <c r="B151" s="26"/>
      <c r="C151" s="26"/>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row>
    <row r="152" spans="1:78" ht="16">
      <c r="A152" s="10" t="str">
        <f t="shared" si="5"/>
        <v/>
      </c>
      <c r="B152" s="26"/>
      <c r="C152" s="26"/>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row>
    <row r="153" spans="1:78" ht="16">
      <c r="A153" s="10" t="str">
        <f t="shared" si="5"/>
        <v/>
      </c>
      <c r="B153" s="26"/>
      <c r="C153" s="26"/>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row>
    <row r="154" spans="1:78" ht="16">
      <c r="A154" s="10" t="str">
        <f t="shared" si="5"/>
        <v/>
      </c>
      <c r="B154" s="26"/>
      <c r="C154" s="26"/>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row>
    <row r="155" spans="1:78" ht="16">
      <c r="A155" s="10" t="str">
        <f t="shared" si="5"/>
        <v/>
      </c>
      <c r="B155" s="26"/>
      <c r="C155" s="26"/>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row>
    <row r="156" spans="1:78" ht="16">
      <c r="A156" s="10" t="str">
        <f t="shared" si="5"/>
        <v/>
      </c>
      <c r="B156" s="26"/>
      <c r="C156" s="2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row>
    <row r="157" spans="1:78" ht="16">
      <c r="A157" s="10" t="str">
        <f t="shared" si="5"/>
        <v/>
      </c>
      <c r="B157" s="26"/>
      <c r="C157" s="26"/>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row>
    <row r="158" spans="1:78" ht="16">
      <c r="A158" s="10" t="str">
        <f t="shared" si="5"/>
        <v/>
      </c>
      <c r="B158" s="26"/>
      <c r="C158" s="26"/>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row>
    <row r="159" spans="1:78" ht="16">
      <c r="A159" s="10" t="str">
        <f t="shared" si="5"/>
        <v/>
      </c>
      <c r="B159" s="26"/>
      <c r="C159" s="26"/>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row>
    <row r="160" spans="1:78" ht="16">
      <c r="A160" s="10" t="str">
        <f t="shared" si="5"/>
        <v/>
      </c>
      <c r="B160" s="26"/>
      <c r="C160" s="26"/>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row>
    <row r="161" spans="1:78" ht="16">
      <c r="A161" s="10" t="str">
        <f t="shared" si="5"/>
        <v/>
      </c>
      <c r="B161" s="26"/>
      <c r="C161" s="26"/>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row>
    <row r="162" spans="1:78" ht="16">
      <c r="A162" s="10" t="str">
        <f t="shared" si="5"/>
        <v/>
      </c>
      <c r="B162" s="26"/>
      <c r="C162" s="26"/>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row>
    <row r="163" spans="1:78" ht="16">
      <c r="A163" s="10" t="str">
        <f t="shared" si="5"/>
        <v/>
      </c>
      <c r="B163" s="26"/>
      <c r="C163" s="26"/>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row>
    <row r="164" spans="1:78" ht="16">
      <c r="A164" s="10" t="str">
        <f t="shared" si="5"/>
        <v/>
      </c>
      <c r="B164" s="26"/>
      <c r="C164" s="26"/>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row>
    <row r="165" spans="1:78" ht="16">
      <c r="A165" s="10" t="str">
        <f t="shared" si="5"/>
        <v/>
      </c>
      <c r="B165" s="26"/>
      <c r="C165" s="26"/>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row>
    <row r="166" spans="1:78" ht="16">
      <c r="A166" s="10" t="str">
        <f t="shared" si="5"/>
        <v/>
      </c>
      <c r="B166" s="26"/>
      <c r="C166" s="2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row>
    <row r="167" spans="1:78" ht="16">
      <c r="A167" s="10" t="str">
        <f t="shared" ref="A167" si="6">IF(ISBLANK(B167),"","RQ"&amp;TEXT(ROW()-3,"000"))</f>
        <v/>
      </c>
      <c r="B167" s="26"/>
      <c r="C167" s="26"/>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row>
    <row r="168" spans="1:78">
      <c r="B168" s="26"/>
      <c r="C168" s="26"/>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row>
    <row r="169" spans="1:78">
      <c r="B169" s="26"/>
      <c r="C169" s="26"/>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row>
    <row r="170" spans="1:78">
      <c r="B170" s="26"/>
      <c r="C170" s="26"/>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row>
    <row r="171" spans="1:78">
      <c r="B171" s="26"/>
      <c r="C171" s="26"/>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row>
    <row r="172" spans="1:78">
      <c r="B172" s="26"/>
      <c r="C172" s="26"/>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row>
    <row r="173" spans="1:78">
      <c r="B173" s="26"/>
      <c r="C173" s="26"/>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row>
    <row r="174" spans="1:78">
      <c r="B174" s="26"/>
      <c r="C174" s="26"/>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row>
    <row r="175" spans="1:78">
      <c r="B175" s="26"/>
      <c r="C175" s="26"/>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row>
    <row r="176" spans="1:78">
      <c r="B176" s="26"/>
      <c r="C176" s="2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row>
    <row r="177" spans="2:78">
      <c r="B177" s="26"/>
      <c r="C177" s="26"/>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row>
    <row r="178" spans="2:78">
      <c r="B178" s="26"/>
      <c r="C178" s="26"/>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row>
    <row r="179" spans="2:78">
      <c r="B179" s="26"/>
      <c r="C179" s="26"/>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row>
    <row r="180" spans="2:78">
      <c r="B180" s="26"/>
      <c r="C180" s="26"/>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row>
    <row r="181" spans="2:78">
      <c r="B181" s="26"/>
      <c r="C181" s="26"/>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row>
    <row r="182" spans="2:78">
      <c r="B182" s="26"/>
      <c r="C182" s="26"/>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row>
    <row r="183" spans="2:78">
      <c r="B183" s="26"/>
      <c r="C183" s="26"/>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row>
    <row r="184" spans="2:78">
      <c r="B184" s="26"/>
      <c r="C184" s="26"/>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row>
    <row r="185" spans="2:78">
      <c r="B185" s="26"/>
      <c r="C185" s="26"/>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row>
    <row r="186" spans="2:78">
      <c r="B186" s="26"/>
      <c r="C186" s="2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row>
    <row r="187" spans="2:78">
      <c r="B187" s="26"/>
      <c r="C187" s="26"/>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row>
    <row r="188" spans="2:78">
      <c r="B188" s="26"/>
      <c r="C188" s="26"/>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row>
    <row r="189" spans="2:78">
      <c r="B189" s="26"/>
      <c r="C189" s="26"/>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row>
    <row r="190" spans="2:78">
      <c r="B190" s="26"/>
      <c r="C190" s="26"/>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row>
    <row r="191" spans="2:78">
      <c r="B191" s="26"/>
      <c r="C191" s="26"/>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row>
    <row r="192" spans="2:78">
      <c r="B192" s="26"/>
      <c r="C192" s="26"/>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row>
    <row r="193" spans="2:78">
      <c r="B193" s="26"/>
      <c r="C193" s="26"/>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row>
    <row r="194" spans="2:78">
      <c r="B194" s="26"/>
      <c r="C194" s="26"/>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row>
    <row r="195" spans="2:78">
      <c r="B195" s="26"/>
      <c r="C195" s="26"/>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row>
    <row r="196" spans="2:78">
      <c r="B196" s="26"/>
      <c r="C196" s="2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row>
    <row r="197" spans="2:78">
      <c r="B197" s="26"/>
      <c r="C197" s="26"/>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row>
    <row r="198" spans="2:78">
      <c r="B198" s="26"/>
      <c r="C198" s="26"/>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row>
    <row r="199" spans="2:78">
      <c r="B199" s="26"/>
      <c r="C199" s="26"/>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row>
    <row r="200" spans="2:78">
      <c r="B200" s="26"/>
      <c r="C200" s="26"/>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row>
    <row r="201" spans="2:78">
      <c r="B201" s="26"/>
      <c r="C201" s="26"/>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row>
    <row r="202" spans="2:78">
      <c r="B202" s="26"/>
      <c r="C202" s="26"/>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row>
    <row r="203" spans="2:78">
      <c r="B203" s="26"/>
      <c r="C203" s="26"/>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row>
    <row r="204" spans="2:78">
      <c r="B204" s="26"/>
      <c r="C204" s="26"/>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row>
    <row r="205" spans="2:78">
      <c r="B205" s="26"/>
      <c r="C205" s="26"/>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row>
    <row r="206" spans="2:78">
      <c r="B206" s="26"/>
      <c r="C206" s="2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row>
    <row r="207" spans="2:78">
      <c r="B207" s="26"/>
      <c r="C207" s="26"/>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row>
    <row r="208" spans="2:78">
      <c r="B208" s="26"/>
      <c r="C208" s="26"/>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row>
    <row r="209" spans="2:78">
      <c r="B209" s="26"/>
      <c r="C209" s="26"/>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row>
    <row r="210" spans="2:78">
      <c r="B210" s="26"/>
      <c r="C210" s="26"/>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row>
    <row r="211" spans="2:78">
      <c r="B211" s="26"/>
      <c r="C211" s="26"/>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row>
    <row r="212" spans="2:78">
      <c r="B212" s="26"/>
      <c r="C212" s="26"/>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row>
    <row r="213" spans="2:78">
      <c r="B213" s="26"/>
      <c r="C213" s="26"/>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row>
    <row r="214" spans="2:78">
      <c r="B214" s="26"/>
      <c r="C214" s="26"/>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row>
    <row r="215" spans="2:78">
      <c r="B215" s="26"/>
      <c r="C215" s="26"/>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row>
    <row r="216" spans="2:78">
      <c r="B216" s="26"/>
      <c r="C216" s="2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row>
    <row r="217" spans="2:78">
      <c r="B217" s="26"/>
      <c r="C217" s="26"/>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row>
    <row r="218" spans="2:78">
      <c r="B218" s="26"/>
      <c r="C218" s="26"/>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row>
    <row r="219" spans="2:78">
      <c r="B219" s="26"/>
      <c r="C219" s="26"/>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row>
    <row r="220" spans="2:78">
      <c r="B220" s="26"/>
      <c r="C220" s="26"/>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row>
    <row r="221" spans="2:78">
      <c r="B221" s="26"/>
      <c r="C221" s="26"/>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row>
    <row r="222" spans="2:78">
      <c r="B222" s="26"/>
      <c r="C222" s="26"/>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row>
    <row r="223" spans="2:78">
      <c r="B223" s="26"/>
      <c r="C223" s="26"/>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row>
    <row r="224" spans="2:78">
      <c r="B224" s="26"/>
      <c r="C224" s="26"/>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row>
    <row r="225" spans="2:78">
      <c r="B225" s="26"/>
      <c r="C225" s="26"/>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row>
    <row r="226" spans="2:78">
      <c r="B226" s="26"/>
      <c r="C226" s="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row>
    <row r="227" spans="2:78">
      <c r="B227" s="26"/>
      <c r="C227" s="26"/>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row>
    <row r="228" spans="2:78">
      <c r="B228" s="26"/>
      <c r="C228" s="26"/>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row>
    <row r="229" spans="2:78">
      <c r="B229" s="26"/>
      <c r="C229" s="26"/>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row>
    <row r="230" spans="2:78">
      <c r="B230" s="26"/>
      <c r="C230" s="26"/>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row>
    <row r="231" spans="2:78">
      <c r="B231" s="26"/>
      <c r="C231" s="26"/>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row>
    <row r="232" spans="2:78">
      <c r="B232" s="26"/>
      <c r="C232" s="26"/>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row>
    <row r="233" spans="2:78">
      <c r="B233" s="26"/>
      <c r="C233" s="26"/>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row>
    <row r="234" spans="2:78">
      <c r="B234" s="26"/>
      <c r="C234" s="26"/>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row>
    <row r="235" spans="2:78">
      <c r="B235" s="26"/>
      <c r="C235" s="26"/>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row>
    <row r="236" spans="2:78">
      <c r="B236" s="26"/>
      <c r="C236" s="2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row>
    <row r="237" spans="2:78">
      <c r="B237" s="26"/>
      <c r="C237" s="26"/>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row>
    <row r="238" spans="2:78">
      <c r="B238" s="26"/>
      <c r="C238" s="26"/>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row>
    <row r="239" spans="2:78">
      <c r="B239" s="26"/>
      <c r="C239" s="26"/>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row>
    <row r="240" spans="2:78">
      <c r="B240" s="26"/>
      <c r="C240" s="26"/>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row>
    <row r="241" spans="2:78">
      <c r="B241" s="26"/>
      <c r="C241" s="26"/>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row>
    <row r="242" spans="2:78">
      <c r="B242" s="26"/>
      <c r="C242" s="26"/>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row>
    <row r="243" spans="2:78">
      <c r="B243" s="26"/>
      <c r="C243" s="26"/>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row>
    <row r="244" spans="2:78">
      <c r="B244" s="26"/>
      <c r="C244" s="26"/>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row>
    <row r="245" spans="2:78">
      <c r="B245" s="26"/>
      <c r="C245" s="26"/>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row>
    <row r="246" spans="2:78">
      <c r="B246" s="26"/>
      <c r="C246" s="2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row>
    <row r="247" spans="2:78">
      <c r="B247" s="26"/>
      <c r="C247" s="26"/>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row>
    <row r="248" spans="2:78">
      <c r="B248" s="26"/>
      <c r="C248" s="26"/>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row>
    <row r="249" spans="2:78">
      <c r="B249" s="26"/>
      <c r="C249" s="26"/>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row>
    <row r="250" spans="2:78">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row>
    <row r="251" spans="2:78">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row>
    <row r="252" spans="2:78">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row>
    <row r="253" spans="2:78">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row>
    <row r="254" spans="2:78">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row>
    <row r="255" spans="2:78">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row>
    <row r="256" spans="2:78">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row>
    <row r="257" spans="4:78">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row>
    <row r="258" spans="4:7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row>
    <row r="259" spans="4:78">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row>
    <row r="260" spans="4:78">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row>
    <row r="261" spans="4:78">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row>
    <row r="262" spans="4:78">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row>
    <row r="263" spans="4:78">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row>
    <row r="264" spans="4:78">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row>
    <row r="265" spans="4:78">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row>
    <row r="266" spans="4:78">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row>
    <row r="267" spans="4:78">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row>
    <row r="268" spans="4:7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row>
    <row r="269" spans="4:78">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row>
    <row r="270" spans="4:78">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row>
    <row r="271" spans="4:78">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row>
    <row r="272" spans="4:78">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row>
    <row r="273" spans="4:78">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row>
    <row r="274" spans="4:78">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row>
    <row r="275" spans="4:78">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row>
    <row r="276" spans="4:78">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row>
    <row r="277" spans="4:78">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row>
    <row r="278" spans="4: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row>
    <row r="279" spans="4:78">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row>
    <row r="280" spans="4:78">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row>
    <row r="281" spans="4:78">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row>
    <row r="282" spans="4:78">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row>
    <row r="283" spans="4:78">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row>
    <row r="284" spans="4:78">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row>
    <row r="285" spans="4:78">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row>
    <row r="286" spans="4:78">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row>
    <row r="287" spans="4:78">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row>
    <row r="288" spans="4:7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row>
    <row r="289" spans="4:78">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row>
    <row r="290" spans="4:78">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row>
    <row r="291" spans="4:78">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row>
    <row r="292" spans="4:78">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row>
    <row r="293" spans="4:78">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row>
    <row r="294" spans="4:78">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row>
    <row r="295" spans="4:78">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row>
    <row r="296" spans="4:78">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row>
    <row r="297" spans="4:78">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row>
    <row r="298" spans="4:7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row>
    <row r="299" spans="4:78">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row>
    <row r="300" spans="4:78">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row>
    <row r="301" spans="4:78">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row>
    <row r="302" spans="4:78">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row>
    <row r="303" spans="4:78">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row>
    <row r="304" spans="4:78">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row>
    <row r="305" spans="4:78">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row>
    <row r="306" spans="4:78">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row>
    <row r="307" spans="4:78">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row>
    <row r="308" spans="4:7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row>
    <row r="309" spans="4:78">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row>
    <row r="310" spans="4:78">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row>
    <row r="311" spans="4:78">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row>
    <row r="312" spans="4:78">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row>
    <row r="313" spans="4:78">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row>
    <row r="314" spans="4:78">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row>
    <row r="315" spans="4:78">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row>
    <row r="316" spans="4:78">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row>
    <row r="317" spans="4:78">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row>
    <row r="318" spans="4:7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row>
    <row r="319" spans="4:78">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row>
    <row r="320" spans="4:78">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row>
    <row r="321" spans="4:78">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row>
    <row r="322" spans="4:78">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row>
    <row r="323" spans="4:78">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row>
    <row r="324" spans="4:78">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row>
    <row r="325" spans="4:78">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row>
    <row r="326" spans="4:78">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row>
    <row r="327" spans="4:78">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row>
    <row r="328" spans="4:7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row>
    <row r="329" spans="4:78">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row>
    <row r="330" spans="4:78">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row>
    <row r="331" spans="4:78">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row>
    <row r="332" spans="4:78">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row>
    <row r="333" spans="4:78">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row>
    <row r="334" spans="4:78">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row>
    <row r="335" spans="4:78">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row>
    <row r="336" spans="4:78">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row>
    <row r="337" spans="4:78">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row>
    <row r="338" spans="4:7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row>
    <row r="339" spans="4:78">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row>
    <row r="340" spans="4:78">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row>
    <row r="341" spans="4:78">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row>
    <row r="342" spans="4:78">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row>
    <row r="343" spans="4:78">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row>
    <row r="344" spans="4:78">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row>
    <row r="345" spans="4:78">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row>
    <row r="346" spans="4:78">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row>
    <row r="347" spans="4:78">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row>
    <row r="348" spans="4:7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row>
    <row r="349" spans="4:78">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row>
    <row r="350" spans="4:78">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row>
    <row r="351" spans="4:78">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row>
    <row r="352" spans="4:78">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row>
    <row r="353" spans="4:78">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row>
    <row r="354" spans="4:78">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row>
    <row r="355" spans="4:78">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row>
    <row r="356" spans="4:78">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row>
    <row r="357" spans="4:78">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row>
    <row r="358" spans="4:7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row>
    <row r="359" spans="4:78">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row>
    <row r="360" spans="4:78">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row>
    <row r="361" spans="4:78">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row>
    <row r="362" spans="4:78">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row>
    <row r="363" spans="4:78">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row>
    <row r="364" spans="4:78">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row>
    <row r="365" spans="4:78">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row>
    <row r="366" spans="4:78">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row>
    <row r="367" spans="4:78">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row>
    <row r="368" spans="4:7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row>
    <row r="369" spans="4:78">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row>
    <row r="370" spans="4:78">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row>
    <row r="371" spans="4:78">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row>
    <row r="372" spans="4:78">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row>
    <row r="373" spans="4:78">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row>
    <row r="374" spans="4:78">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row>
    <row r="375" spans="4:78">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row>
    <row r="376" spans="4:78">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row>
    <row r="377" spans="4:78">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row>
    <row r="378" spans="4: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row>
    <row r="379" spans="4:78">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row>
    <row r="380" spans="4:78">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row>
    <row r="381" spans="4:78">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row>
    <row r="382" spans="4:78">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row>
    <row r="383" spans="4:78">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row>
    <row r="384" spans="4:78">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row>
    <row r="385" spans="4:78">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row>
    <row r="386" spans="4:78">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row>
    <row r="387" spans="4:78">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row>
    <row r="388" spans="4:7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row>
    <row r="389" spans="4:78">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row>
    <row r="390" spans="4:78">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row>
    <row r="391" spans="4:78">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row>
    <row r="392" spans="4:78">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row>
    <row r="393" spans="4:78">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row>
    <row r="394" spans="4:78">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row>
    <row r="395" spans="4:78">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row>
    <row r="396" spans="4:78">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row>
    <row r="397" spans="4:78">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row>
    <row r="398" spans="4:7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row>
    <row r="399" spans="4:78">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row>
    <row r="400" spans="4:78">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row>
    <row r="401" spans="4:78">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row>
    <row r="402" spans="4:78">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row>
    <row r="403" spans="4:78">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row>
    <row r="404" spans="4:78">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row>
    <row r="405" spans="4:78">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row>
    <row r="406" spans="4:78">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row>
    <row r="407" spans="4:78">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row>
    <row r="408" spans="4:7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row>
    <row r="409" spans="4:78">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row>
    <row r="410" spans="4:78">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row>
    <row r="411" spans="4:78">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row>
    <row r="412" spans="4:78">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row>
    <row r="413" spans="4:78">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row>
    <row r="414" spans="4:78">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row>
    <row r="415" spans="4:78">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row>
    <row r="416" spans="4:78">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row>
    <row r="417" spans="4:78">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row>
    <row r="418" spans="4:7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row>
    <row r="419" spans="4:78">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row>
    <row r="420" spans="4:78">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row>
    <row r="421" spans="4:78">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row>
    <row r="422" spans="4:78">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row>
    <row r="423" spans="4:78">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row>
    <row r="424" spans="4:78">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row>
    <row r="425" spans="4:78">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row>
    <row r="426" spans="4:78">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row>
    <row r="427" spans="4:78">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row>
    <row r="428" spans="4:7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row>
    <row r="429" spans="4:78">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row>
    <row r="430" spans="4:78">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row>
    <row r="431" spans="4:78">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row>
    <row r="432" spans="4:78">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row>
    <row r="433" spans="4:78">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row>
    <row r="434" spans="4:78">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row>
    <row r="435" spans="4:78">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row>
    <row r="436" spans="4:78">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row>
    <row r="437" spans="4:78">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row>
    <row r="438" spans="4:7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row>
    <row r="439" spans="4:78">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row>
    <row r="440" spans="4:78">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row>
    <row r="441" spans="4:78">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row>
    <row r="442" spans="4:78">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row>
    <row r="443" spans="4:78">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row>
    <row r="444" spans="4:78">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row>
    <row r="445" spans="4:78">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row>
    <row r="446" spans="4:78">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row>
    <row r="447" spans="4:78">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row>
    <row r="448" spans="4:7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row>
    <row r="449" spans="4:78">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row>
    <row r="450" spans="4:78">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row>
    <row r="451" spans="4:78">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row>
    <row r="452" spans="4:78">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row>
    <row r="453" spans="4:78">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row>
    <row r="454" spans="4:78">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row>
    <row r="455" spans="4:78">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row>
    <row r="456" spans="4:78">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row>
    <row r="457" spans="4:78">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row>
    <row r="458" spans="4:7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row>
    <row r="459" spans="4:78">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row>
    <row r="460" spans="4:78">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row>
    <row r="461" spans="4:78">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row>
    <row r="462" spans="4:78">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row>
    <row r="463" spans="4:78">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row>
    <row r="464" spans="4:78">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row>
    <row r="465" spans="4:78">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row>
    <row r="466" spans="4:78">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row>
    <row r="467" spans="4:78">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row>
    <row r="468" spans="4:7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row>
    <row r="469" spans="4:78">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row>
    <row r="470" spans="4:78">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row>
    <row r="471" spans="4:78">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row>
    <row r="472" spans="4:78">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row>
    <row r="473" spans="4:78">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row>
    <row r="474" spans="4:78">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row>
    <row r="475" spans="4:78">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row>
    <row r="476" spans="4:78">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row>
    <row r="477" spans="4:78">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row>
    <row r="478" spans="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row>
    <row r="479" spans="4:78">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row>
    <row r="480" spans="4:78">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row>
    <row r="481" spans="4:78">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row>
    <row r="482" spans="4:78">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row>
    <row r="483" spans="4:78">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row>
    <row r="484" spans="4:78">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row>
    <row r="485" spans="4:78">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row>
    <row r="486" spans="4:78">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row>
    <row r="487" spans="4:78">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row>
    <row r="488" spans="4:7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row>
    <row r="489" spans="4:78">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row>
    <row r="490" spans="4:78">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row>
    <row r="491" spans="4:78">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row>
    <row r="492" spans="4:78">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row>
    <row r="493" spans="4:78">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row>
    <row r="494" spans="4:78">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row>
    <row r="495" spans="4:78">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row>
    <row r="496" spans="4:78">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row>
    <row r="497" spans="4:78">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row>
    <row r="498" spans="4:7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row>
    <row r="499" spans="4:78">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row>
    <row r="500" spans="4:78">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row>
    <row r="501" spans="4:78">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row>
    <row r="502" spans="4:78">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row>
    <row r="503" spans="4:78">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row>
    <row r="504" spans="4:78">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row>
    <row r="505" spans="4:78">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row>
    <row r="506" spans="4:78">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row>
    <row r="507" spans="4:78">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row>
    <row r="508" spans="4:7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row>
    <row r="509" spans="4:78">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row>
    <row r="510" spans="4:78">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row>
    <row r="511" spans="4:78">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row>
    <row r="512" spans="4:78">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row>
    <row r="513" spans="4:78">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row>
    <row r="514" spans="4:78">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row>
    <row r="515" spans="4:78">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row>
    <row r="516" spans="4:78">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row>
    <row r="517" spans="4:78">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row>
    <row r="518" spans="4:7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row>
    <row r="519" spans="4:78">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row>
    <row r="520" spans="4:78">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row>
    <row r="521" spans="4:78">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row>
    <row r="522" spans="4:78">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row>
    <row r="523" spans="4:78">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row>
    <row r="524" spans="4:78">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row>
    <row r="525" spans="4:78">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row>
    <row r="526" spans="4:78">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row>
    <row r="527" spans="4:78">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row>
    <row r="528" spans="4:7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row>
    <row r="529" spans="4:78">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row>
    <row r="530" spans="4:78">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row>
    <row r="531" spans="4:78">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row>
    <row r="532" spans="4:78">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row>
    <row r="533" spans="4:78">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row>
    <row r="534" spans="4:78">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row>
    <row r="535" spans="4:78">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row>
    <row r="536" spans="4:78">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row>
    <row r="537" spans="4:78">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row>
    <row r="538" spans="4:7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row>
    <row r="539" spans="4:78">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row>
    <row r="540" spans="4:78">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row>
    <row r="541" spans="4:78">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row>
    <row r="542" spans="4:78">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row>
    <row r="543" spans="4:78">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row>
    <row r="544" spans="4:78">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row>
    <row r="545" spans="4:78">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row>
    <row r="546" spans="4:78">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row>
    <row r="547" spans="4:78">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row>
    <row r="548" spans="4:7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row>
    <row r="549" spans="4:78">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row>
    <row r="550" spans="4:78">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row>
    <row r="551" spans="4:78">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row>
    <row r="552" spans="4:78">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row>
    <row r="553" spans="4:78">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row>
    <row r="554" spans="4:78">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row>
    <row r="555" spans="4:78">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row>
    <row r="556" spans="4:78">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row>
    <row r="557" spans="4:78">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row>
    <row r="558" spans="4:7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row>
    <row r="559" spans="4:78">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row>
    <row r="560" spans="4:78">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row>
    <row r="561" spans="4:78">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row>
    <row r="562" spans="4:78">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row>
    <row r="563" spans="4:78">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row>
    <row r="564" spans="4:78">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row>
    <row r="565" spans="4:78">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row>
    <row r="566" spans="4:78">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row>
    <row r="567" spans="4:78">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row>
    <row r="568" spans="4:7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row>
    <row r="569" spans="4:78">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row>
    <row r="570" spans="4:78">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row>
    <row r="571" spans="4:78">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row>
    <row r="572" spans="4:78">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row>
    <row r="573" spans="4:78">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row>
    <row r="574" spans="4:78">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row>
    <row r="575" spans="4:78">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row>
    <row r="576" spans="4:78">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row>
    <row r="577" spans="4:78">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row>
    <row r="578" spans="4: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row>
    <row r="579" spans="4:78">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row>
    <row r="580" spans="4:78">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row>
    <row r="581" spans="4:78">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row>
    <row r="582" spans="4:78">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row>
    <row r="583" spans="4:78">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row>
    <row r="584" spans="4:78">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row>
    <row r="585" spans="4:78">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row>
    <row r="586" spans="4:78">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row>
    <row r="587" spans="4:78">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row>
    <row r="588" spans="4:7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row>
    <row r="589" spans="4:78">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row>
    <row r="590" spans="4:78">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row>
    <row r="591" spans="4:78">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row>
    <row r="592" spans="4:78">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row>
    <row r="593" spans="4:78">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row>
    <row r="594" spans="4:78">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row>
    <row r="595" spans="4:78">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row>
    <row r="596" spans="4:78">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row>
    <row r="597" spans="4:78">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row>
    <row r="598" spans="4:7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row>
    <row r="599" spans="4:78">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row>
    <row r="600" spans="4:78">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row>
    <row r="601" spans="4:78">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row>
    <row r="602" spans="4:78">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row>
    <row r="603" spans="4:78">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row>
    <row r="604" spans="4:78">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row>
    <row r="605" spans="4:78">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row>
    <row r="606" spans="4:78">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row>
    <row r="607" spans="4:78">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row>
    <row r="608" spans="4:7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row>
    <row r="609" spans="4:78">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row>
    <row r="610" spans="4:78">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row>
    <row r="611" spans="4:78">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row>
    <row r="612" spans="4:78">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row>
    <row r="613" spans="4:78">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row>
    <row r="614" spans="4:78">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row>
    <row r="615" spans="4:78">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row>
    <row r="616" spans="4:78">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row>
    <row r="617" spans="4:78">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row>
    <row r="618" spans="4:7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row>
    <row r="619" spans="4:78">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row>
    <row r="620" spans="4:78">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row>
    <row r="621" spans="4:78">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row>
    <row r="622" spans="4:78">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row>
    <row r="623" spans="4:78">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row>
    <row r="624" spans="4:78">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row>
    <row r="625" spans="4:78">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row>
    <row r="626" spans="4:78">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row>
    <row r="627" spans="4:78">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row>
    <row r="628" spans="4:7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row>
    <row r="629" spans="4:78">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row>
    <row r="630" spans="4:78">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row>
    <row r="631" spans="4:78">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row>
    <row r="632" spans="4:78">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row>
    <row r="633" spans="4:78">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row>
    <row r="634" spans="4:78">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row>
    <row r="635" spans="4:78">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row>
    <row r="636" spans="4:78">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row>
    <row r="637" spans="4:78">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row>
    <row r="638" spans="4:7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row>
    <row r="639" spans="4:78">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row>
    <row r="640" spans="4:78">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row>
    <row r="641" spans="4:78">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row>
    <row r="642" spans="4:78">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row>
    <row r="643" spans="4:78">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row>
    <row r="644" spans="4:78">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row>
    <row r="645" spans="4:78">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row>
    <row r="646" spans="4:78">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row>
    <row r="647" spans="4:78">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row>
    <row r="648" spans="4:7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row>
    <row r="649" spans="4:78">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row>
    <row r="650" spans="4:78">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row>
    <row r="651" spans="4:78">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row>
    <row r="652" spans="4:78">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row>
    <row r="653" spans="4:78">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row>
    <row r="654" spans="4:78">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row>
    <row r="655" spans="4:78">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row>
    <row r="656" spans="4:78">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row>
    <row r="657" spans="4:78">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row>
    <row r="658" spans="4:7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row>
    <row r="659" spans="4:78">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row>
    <row r="660" spans="4:78">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row>
    <row r="661" spans="4:78">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row>
    <row r="662" spans="4:78">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row>
    <row r="663" spans="4:78">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row>
    <row r="664" spans="4:78">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row>
    <row r="665" spans="4:78">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row>
    <row r="666" spans="4:78">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row>
    <row r="667" spans="4:78">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row>
    <row r="668" spans="4:7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row>
    <row r="669" spans="4:78">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row>
    <row r="670" spans="4:78">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row>
    <row r="671" spans="4:78">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row>
    <row r="672" spans="4:78">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row>
    <row r="673" spans="4:78">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row>
    <row r="674" spans="4:78">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row>
    <row r="675" spans="4:78">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row>
    <row r="676" spans="4:78">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row>
    <row r="677" spans="4:78">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row>
    <row r="678" spans="4: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row>
    <row r="679" spans="4:78">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row>
    <row r="680" spans="4:78">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row>
    <row r="681" spans="4:78">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row>
    <row r="682" spans="4:78">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row>
    <row r="683" spans="4:78">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row>
    <row r="684" spans="4:78">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row>
    <row r="685" spans="4:78">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row>
    <row r="686" spans="4:78">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row>
    <row r="687" spans="4:78">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row>
    <row r="688" spans="4:7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row>
    <row r="689" spans="4:78">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row>
    <row r="690" spans="4:78">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row>
    <row r="691" spans="4:78">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row>
    <row r="692" spans="4:78">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row>
    <row r="693" spans="4:78">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row>
    <row r="694" spans="4:78">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row>
    <row r="695" spans="4:78">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row>
    <row r="696" spans="4:78">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row>
    <row r="697" spans="4:78">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row>
    <row r="698" spans="4:7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row>
    <row r="699" spans="4:78">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row>
    <row r="700" spans="4:78">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row>
    <row r="701" spans="4:78">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row>
    <row r="702" spans="4:78">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row>
    <row r="703" spans="4:78">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row>
    <row r="704" spans="4:78">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row>
    <row r="705" spans="4:78">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row>
    <row r="706" spans="4:78">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row>
    <row r="707" spans="4:78">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row>
    <row r="708" spans="4:7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row>
    <row r="709" spans="4:78">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row>
    <row r="710" spans="4:78">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row>
    <row r="711" spans="4:78">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row>
    <row r="712" spans="4:78">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row>
    <row r="713" spans="4:78">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row>
    <row r="714" spans="4:78">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row>
    <row r="715" spans="4:78">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row>
    <row r="716" spans="4:78">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row>
    <row r="717" spans="4:78">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row>
    <row r="718" spans="4:7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row>
    <row r="719" spans="4:78">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row>
    <row r="720" spans="4:78">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row>
    <row r="721" spans="4:78">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row>
    <row r="722" spans="4:78">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row>
    <row r="723" spans="4:78">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row>
    <row r="724" spans="4:78">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row>
    <row r="725" spans="4:78">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row>
    <row r="726" spans="4:78">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row>
    <row r="727" spans="4:78">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row>
    <row r="728" spans="4:7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row>
    <row r="729" spans="4:78">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row>
    <row r="730" spans="4:78">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row>
    <row r="731" spans="4:78">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row>
    <row r="732" spans="4:78">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row>
    <row r="733" spans="4:78">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row>
    <row r="734" spans="4:78">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row>
    <row r="735" spans="4:78">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row>
    <row r="736" spans="4:78">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row>
    <row r="737" spans="4:78">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row>
    <row r="738" spans="4:7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row>
    <row r="739" spans="4:78">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row>
    <row r="740" spans="4:78">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row>
    <row r="741" spans="4:78">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row>
    <row r="742" spans="4:78">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row>
    <row r="743" spans="4:78">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row>
    <row r="744" spans="4:78">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row>
    <row r="745" spans="4:78">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row>
    <row r="746" spans="4:78">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row>
    <row r="747" spans="4:78">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row>
    <row r="748" spans="4:7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row>
    <row r="749" spans="4:78">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row>
    <row r="750" spans="4:78">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row>
    <row r="751" spans="4:78">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row>
    <row r="752" spans="4:78">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row>
    <row r="753" spans="4:78">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row>
    <row r="754" spans="4:78">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row>
    <row r="755" spans="4:78">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row>
    <row r="756" spans="4:78">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row>
    <row r="757" spans="4:78">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row>
    <row r="758" spans="4:7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row>
    <row r="759" spans="4:78">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row>
    <row r="760" spans="4:78">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row>
    <row r="761" spans="4:78">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row>
    <row r="762" spans="4:78">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row>
    <row r="763" spans="4:78">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row>
    <row r="764" spans="4:78">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row>
    <row r="765" spans="4:78">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row>
    <row r="766" spans="4:78">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row>
    <row r="767" spans="4:78">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row>
    <row r="768" spans="4:7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row>
    <row r="769" spans="4:78">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row>
    <row r="770" spans="4:78">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row>
    <row r="771" spans="4:78">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row>
    <row r="772" spans="4:78">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row>
    <row r="773" spans="4:78">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row>
    <row r="774" spans="4:78">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row>
    <row r="775" spans="4:78">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row>
    <row r="776" spans="4:78">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row>
    <row r="777" spans="4:78">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row>
    <row r="778" spans="4: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row>
    <row r="779" spans="4:78">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row>
    <row r="780" spans="4:78">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row>
    <row r="781" spans="4:78">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row>
    <row r="782" spans="4:78">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row>
    <row r="783" spans="4:78">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row>
    <row r="784" spans="4:78">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row>
    <row r="785" spans="4:78">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row>
    <row r="786" spans="4:78">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row>
    <row r="787" spans="4:78">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row>
    <row r="788" spans="4:7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row>
    <row r="789" spans="4:78">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row>
    <row r="790" spans="4:78">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row>
    <row r="791" spans="4:78">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row>
    <row r="792" spans="4:78">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row>
    <row r="793" spans="4:78">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row>
    <row r="794" spans="4:78">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row>
    <row r="795" spans="4:78">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row>
    <row r="796" spans="4:78">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row>
    <row r="797" spans="4:78">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row>
    <row r="798" spans="4:7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row>
    <row r="799" spans="4:78">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row>
    <row r="800" spans="4:78">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row>
    <row r="801" spans="4:78">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row>
    <row r="802" spans="4:78">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row>
    <row r="803" spans="4:78">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row>
    <row r="804" spans="4:78">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row>
    <row r="805" spans="4:78">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row>
    <row r="806" spans="4:78">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row>
    <row r="807" spans="4:78">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row>
    <row r="808" spans="4:7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row>
    <row r="809" spans="4:78">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row>
    <row r="810" spans="4:78">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row>
    <row r="811" spans="4:78">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row>
    <row r="812" spans="4:78">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row>
    <row r="813" spans="4:78">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row>
    <row r="814" spans="4:78">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row>
    <row r="815" spans="4:78">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row>
    <row r="816" spans="4:78">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row>
    <row r="817" spans="4:78">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row>
    <row r="818" spans="4:7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row>
    <row r="819" spans="4:78">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row>
    <row r="820" spans="4:78">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row>
    <row r="821" spans="4:78">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row>
    <row r="822" spans="4:78">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row>
    <row r="823" spans="4:78">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row>
    <row r="824" spans="4:78">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row>
    <row r="825" spans="4:78">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row>
    <row r="826" spans="4:78">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row>
    <row r="827" spans="4:78">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row>
    <row r="828" spans="4:7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row>
    <row r="829" spans="4:78">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row>
    <row r="830" spans="4:78">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row>
    <row r="831" spans="4:78">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row>
    <row r="832" spans="4:78">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row>
    <row r="833" spans="4:78">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row>
    <row r="834" spans="4:78">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row>
    <row r="835" spans="4:78">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row>
    <row r="836" spans="4:78">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row>
    <row r="837" spans="4:78">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row>
    <row r="838" spans="4:7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row>
    <row r="839" spans="4:78">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row>
    <row r="840" spans="4:78">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row>
    <row r="841" spans="4:78">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row>
    <row r="842" spans="4:78">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row>
    <row r="843" spans="4:78">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row>
    <row r="844" spans="4:78">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row>
    <row r="845" spans="4:78">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row>
    <row r="846" spans="4:78">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row>
    <row r="847" spans="4:78">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row>
    <row r="848" spans="4:7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row>
    <row r="849" spans="4:78">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row>
    <row r="850" spans="4:78">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row>
    <row r="851" spans="4:78">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row>
    <row r="852" spans="4:78">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row>
    <row r="853" spans="4:78">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row>
    <row r="854" spans="4:78">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row>
    <row r="855" spans="4:78">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row>
    <row r="856" spans="4:78">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row>
    <row r="857" spans="4:78">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row>
    <row r="858" spans="4:7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row>
    <row r="859" spans="4:78">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row>
    <row r="860" spans="4:78">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row>
    <row r="861" spans="4:78">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row>
    <row r="862" spans="4:78">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row>
    <row r="863" spans="4:78">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row>
    <row r="864" spans="4:78">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row>
    <row r="865" spans="4:78">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row>
    <row r="866" spans="4:78">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row>
    <row r="867" spans="4:78">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row>
    <row r="868" spans="4:7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row>
    <row r="869" spans="4:78">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row>
    <row r="870" spans="4:78">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row>
    <row r="871" spans="4:78">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row>
    <row r="872" spans="4:78">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row>
    <row r="873" spans="4:78">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row>
    <row r="874" spans="4:78">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row>
    <row r="875" spans="4:78">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row>
    <row r="876" spans="4:78">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row>
    <row r="877" spans="4:78">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row>
    <row r="878" spans="4: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row>
    <row r="879" spans="4:78">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row>
    <row r="880" spans="4:78">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row>
    <row r="881" spans="4:78">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row>
    <row r="882" spans="4:78">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row>
    <row r="883" spans="4:78">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row>
    <row r="884" spans="4:78">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row>
    <row r="885" spans="4:78">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row>
    <row r="886" spans="4:78">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row>
    <row r="887" spans="4:78">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row>
    <row r="888" spans="4:7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row>
    <row r="889" spans="4:78">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row>
    <row r="890" spans="4:78">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row>
    <row r="891" spans="4:78">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row>
    <row r="892" spans="4:78">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row>
    <row r="893" spans="4:78">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row>
    <row r="894" spans="4:78">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row>
    <row r="895" spans="4:78">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row>
    <row r="896" spans="4:78">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row>
    <row r="897" spans="4:78">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row>
    <row r="898" spans="4:7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row>
    <row r="899" spans="4:78">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row>
    <row r="900" spans="4:78">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row>
    <row r="901" spans="4:78">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row>
    <row r="902" spans="4:78">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row>
    <row r="903" spans="4:78">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row>
    <row r="904" spans="4:78">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row>
    <row r="905" spans="4:78">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row>
    <row r="906" spans="4:78">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row>
    <row r="907" spans="4:78">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row>
    <row r="908" spans="4:7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row>
    <row r="909" spans="4:78">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row>
    <row r="910" spans="4:78">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row>
    <row r="911" spans="4:78">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row>
    <row r="912" spans="4:78">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row>
    <row r="913" spans="4:78">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row>
    <row r="914" spans="4:78">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row>
    <row r="915" spans="4:78">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row>
    <row r="916" spans="4:78">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row>
    <row r="917" spans="4:78">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row>
    <row r="918" spans="4:7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row>
    <row r="919" spans="4:78">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row>
    <row r="920" spans="4:78">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row>
    <row r="921" spans="4:78">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row>
    <row r="922" spans="4:78">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row>
    <row r="923" spans="4:78">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row>
    <row r="924" spans="4:78">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row>
    <row r="925" spans="4:78">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row>
    <row r="926" spans="4:78">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row>
    <row r="927" spans="4:78">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row>
    <row r="928" spans="4:7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row>
    <row r="929" spans="4:78">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row>
    <row r="930" spans="4:78">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row>
    <row r="931" spans="4:78">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row>
    <row r="932" spans="4:78">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row>
    <row r="933" spans="4:78">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row>
    <row r="934" spans="4:78">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row>
    <row r="935" spans="4:78">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row>
    <row r="936" spans="4:78">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row>
    <row r="937" spans="4:78">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row>
    <row r="938" spans="4:7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row>
    <row r="939" spans="4:78">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row>
    <row r="940" spans="4:78">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row>
    <row r="941" spans="4:78">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row>
    <row r="942" spans="4:78">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row>
    <row r="943" spans="4:78">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row>
    <row r="944" spans="4:78">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row>
    <row r="945" spans="4:78">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row>
    <row r="946" spans="4:78">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row>
    <row r="947" spans="4:78">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row>
    <row r="948" spans="4:7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row>
    <row r="949" spans="4:78">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row>
    <row r="950" spans="4:78">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row>
    <row r="951" spans="4:78">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row>
    <row r="952" spans="4:78">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row>
    <row r="953" spans="4:78">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row>
    <row r="954" spans="4:78">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row>
    <row r="955" spans="4:78">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row>
    <row r="956" spans="4:78">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row>
    <row r="957" spans="4:78">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row>
    <row r="958" spans="4:7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row>
    <row r="959" spans="4:78">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row>
    <row r="960" spans="4:78">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row>
    <row r="961" spans="4:78">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row>
    <row r="962" spans="4:78">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row>
    <row r="963" spans="4:78">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row>
    <row r="964" spans="4:78">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row>
    <row r="965" spans="4:78">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row>
    <row r="966" spans="4:78">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row>
    <row r="967" spans="4:78">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row>
    <row r="968" spans="4:7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row>
    <row r="969" spans="4:78">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row>
    <row r="970" spans="4:78">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row>
    <row r="971" spans="4:78">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row>
    <row r="972" spans="4:78">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row>
    <row r="973" spans="4:78">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row>
    <row r="974" spans="4:78">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row>
    <row r="975" spans="4:78">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row>
    <row r="976" spans="4:78">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row>
    <row r="977" spans="4:78">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row>
    <row r="978" spans="4: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row>
    <row r="979" spans="4:78">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row>
    <row r="980" spans="4:78">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row>
    <row r="981" spans="4:78">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row>
    <row r="982" spans="4:78">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row>
    <row r="983" spans="4:78">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row>
    <row r="984" spans="4:78">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row>
    <row r="985" spans="4:78">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row>
    <row r="986" spans="4:78">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row>
    <row r="987" spans="4:78">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row>
    <row r="988" spans="4:7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row>
    <row r="989" spans="4:78">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row>
    <row r="990" spans="4:78">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row>
    <row r="991" spans="4:78">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row>
    <row r="992" spans="4:78">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row>
    <row r="993" spans="4:78">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row>
    <row r="994" spans="4:78">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row>
    <row r="995" spans="4:78">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row>
    <row r="996" spans="4:78">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row>
    <row r="997" spans="4:78">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row>
    <row r="998" spans="4:7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row>
    <row r="999" spans="4:78">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row>
    <row r="1000" spans="4:78">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row>
  </sheetData>
  <sheetProtection sheet="1" objects="1" scenarios="1"/>
  <mergeCells count="2">
    <mergeCell ref="E3:I3"/>
    <mergeCell ref="N3:Q3"/>
  </mergeCells>
  <conditionalFormatting sqref="H1001:I1048576">
    <cfRule type="colorScale" priority="2">
      <colorScale>
        <cfvo type="num" val="-2"/>
        <cfvo type="num" val="0"/>
        <cfvo type="num" val="2"/>
        <color rgb="FFF8696B"/>
        <color rgb="FFFCFCFF"/>
        <color rgb="FF63BE7B"/>
      </colorScale>
    </cfRule>
  </conditionalFormatting>
  <dataValidations count="3">
    <dataValidation type="list" allowBlank="1" showInputMessage="1" showErrorMessage="1" sqref="E3:I4" xr:uid="{00000000-0002-0000-0200-000000000000}">
      <formula1>Stakeholders</formula1>
    </dataValidation>
    <dataValidation type="list" allowBlank="1" showInputMessage="1" showErrorMessage="1" sqref="N3:Q4" xr:uid="{00000000-0002-0000-0200-000001000000}">
      <formula1>Dimensions</formula1>
    </dataValidation>
    <dataValidation type="list" allowBlank="1" showInputMessage="1" showErrorMessage="1" sqref="C7:C290" xr:uid="{00000000-0002-0000-0200-000002000000}">
      <formula1>Scenarios</formula1>
    </dataValidation>
  </dataValidations>
  <pageMargins left="0.7" right="0.7" top="0.78740157499999996" bottom="0.78740157499999996"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391" r:id="rId4" name="Button 151">
              <controlPr defaultSize="0" print="0" autoFill="0" autoPict="0" macro="[0]!New_Requirement_Click">
                <anchor moveWithCells="1" sizeWithCells="1">
                  <from>
                    <xdr:col>1</xdr:col>
                    <xdr:colOff>114300</xdr:colOff>
                    <xdr:row>1</xdr:row>
                    <xdr:rowOff>101600</xdr:rowOff>
                  </from>
                  <to>
                    <xdr:col>1</xdr:col>
                    <xdr:colOff>1358900</xdr:colOff>
                    <xdr:row>3</xdr:row>
                    <xdr:rowOff>50800</xdr:rowOff>
                  </to>
                </anchor>
              </controlPr>
            </control>
          </mc:Choice>
        </mc:AlternateContent>
        <mc:AlternateContent xmlns:mc="http://schemas.openxmlformats.org/markup-compatibility/2006">
          <mc:Choice Requires="x14">
            <control shapeId="10437" r:id="rId5" name="Button 197">
              <controlPr defaultSize="0" print="0" autoFill="0" autoPict="0" macro="[0]!Delete_Last_Requirement_Click">
                <anchor moveWithCells="1" sizeWithCells="1">
                  <from>
                    <xdr:col>1</xdr:col>
                    <xdr:colOff>1536700</xdr:colOff>
                    <xdr:row>1</xdr:row>
                    <xdr:rowOff>114300</xdr:rowOff>
                  </from>
                  <to>
                    <xdr:col>1</xdr:col>
                    <xdr:colOff>3289300</xdr:colOff>
                    <xdr:row>3</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7"/>
  <dimension ref="A1:H338"/>
  <sheetViews>
    <sheetView workbookViewId="0">
      <pane ySplit="1" topLeftCell="A2" activePane="bottomLeft" state="frozen"/>
      <selection pane="bottomLeft" activeCell="H12" sqref="H12"/>
    </sheetView>
  </sheetViews>
  <sheetFormatPr baseColWidth="10" defaultColWidth="11.5" defaultRowHeight="15"/>
  <cols>
    <col min="1" max="1" width="8.5" style="1" customWidth="1"/>
    <col min="2" max="2" width="12.5" style="1" customWidth="1"/>
    <col min="3" max="3" width="9.1640625" style="1" customWidth="1"/>
    <col min="4" max="4" width="18.83203125" style="1" customWidth="1"/>
    <col min="5" max="5" width="20.6640625" style="1" customWidth="1"/>
    <col min="6" max="6" width="14.5" style="1" customWidth="1"/>
    <col min="7" max="7" width="20.1640625" style="1" customWidth="1"/>
    <col min="8" max="8" width="75.1640625" style="1" customWidth="1"/>
    <col min="9" max="16384" width="11.5" style="1"/>
  </cols>
  <sheetData>
    <row r="1" spans="1:8" ht="16">
      <c r="A1" s="57" t="s">
        <v>30</v>
      </c>
      <c r="B1" s="57" t="s">
        <v>116</v>
      </c>
      <c r="C1" s="57" t="s">
        <v>15</v>
      </c>
      <c r="D1" s="57" t="s">
        <v>208</v>
      </c>
      <c r="E1" s="57" t="s">
        <v>222</v>
      </c>
      <c r="F1" s="57" t="s">
        <v>235</v>
      </c>
      <c r="G1" s="57" t="s">
        <v>239</v>
      </c>
      <c r="H1" s="57" t="s">
        <v>238</v>
      </c>
    </row>
    <row r="2" spans="1:8" ht="48">
      <c r="A2" s="1" t="str">
        <f>IF(ISBLANK(B2),"","E"&amp;TEXT(ROW()-1,"000"))</f>
        <v>E001</v>
      </c>
      <c r="B2" s="1" t="s">
        <v>224</v>
      </c>
      <c r="C2" s="1" t="str">
        <f t="shared" ref="C2:C65" si="0">IF(LEN(IFERROR(VLOOKUP(B2,Reqs_and_Explanation,3,FALSE),""))&lt;3,"",IFERROR(VLOOKUP(B2,Reqs_and_Explanation,3,FALSE),""))</f>
        <v/>
      </c>
      <c r="D2" s="1" t="s">
        <v>205</v>
      </c>
      <c r="E2" s="1" t="s">
        <v>214</v>
      </c>
      <c r="F2" s="1" t="s">
        <v>2</v>
      </c>
      <c r="G2" s="1" t="s">
        <v>242</v>
      </c>
      <c r="H2" s="1" t="s">
        <v>228</v>
      </c>
    </row>
    <row r="3" spans="1:8" ht="48">
      <c r="A3" s="1" t="str">
        <f t="shared" ref="A3:A66" si="1">IF(ISBLANK(B3),"","E"&amp;TEXT(ROW()-1,"000"))</f>
        <v>E002</v>
      </c>
      <c r="B3" s="1" t="s">
        <v>225</v>
      </c>
      <c r="C3" s="1" t="str">
        <f t="shared" si="0"/>
        <v>S-2.2</v>
      </c>
      <c r="D3" s="1" t="s">
        <v>203</v>
      </c>
      <c r="E3" s="1" t="s">
        <v>211</v>
      </c>
      <c r="F3" s="1" t="s">
        <v>2</v>
      </c>
      <c r="G3" s="1" t="s">
        <v>243</v>
      </c>
      <c r="H3" s="1" t="s">
        <v>241</v>
      </c>
    </row>
    <row r="4" spans="1:8" ht="32">
      <c r="A4" s="1" t="str">
        <f t="shared" si="1"/>
        <v>E003</v>
      </c>
      <c r="B4" s="1" t="s">
        <v>225</v>
      </c>
      <c r="C4" s="1" t="str">
        <f t="shared" si="0"/>
        <v>S-2.2</v>
      </c>
      <c r="D4" s="1" t="s">
        <v>203</v>
      </c>
      <c r="E4" s="1" t="s">
        <v>214</v>
      </c>
      <c r="F4" s="1" t="s">
        <v>2</v>
      </c>
      <c r="G4" s="1" t="s">
        <v>244</v>
      </c>
      <c r="H4" s="1" t="s">
        <v>229</v>
      </c>
    </row>
    <row r="5" spans="1:8" ht="48">
      <c r="A5" s="1" t="str">
        <f t="shared" si="1"/>
        <v>E004</v>
      </c>
      <c r="B5" s="1" t="s">
        <v>226</v>
      </c>
      <c r="C5" s="1" t="str">
        <f t="shared" si="0"/>
        <v>S-4.3</v>
      </c>
      <c r="D5" s="1" t="s">
        <v>205</v>
      </c>
      <c r="E5" s="1" t="s">
        <v>231</v>
      </c>
      <c r="F5" s="1" t="s">
        <v>2</v>
      </c>
      <c r="G5" s="1" t="s">
        <v>245</v>
      </c>
      <c r="H5" s="1" t="s">
        <v>233</v>
      </c>
    </row>
    <row r="6" spans="1:8" ht="48">
      <c r="A6" s="1" t="str">
        <f t="shared" si="1"/>
        <v>E005</v>
      </c>
      <c r="B6" s="1" t="s">
        <v>226</v>
      </c>
      <c r="C6" s="1" t="str">
        <f t="shared" si="0"/>
        <v>S-4.3</v>
      </c>
      <c r="D6" s="1" t="s">
        <v>205</v>
      </c>
      <c r="E6" s="1" t="s">
        <v>212</v>
      </c>
      <c r="F6" s="1" t="s">
        <v>2</v>
      </c>
      <c r="G6" s="1" t="s">
        <v>246</v>
      </c>
      <c r="H6" s="1" t="s">
        <v>234</v>
      </c>
    </row>
    <row r="7" spans="1:8" ht="32">
      <c r="A7" s="1" t="str">
        <f t="shared" si="1"/>
        <v>E006</v>
      </c>
      <c r="B7" s="1" t="s">
        <v>141</v>
      </c>
      <c r="C7" s="1" t="str">
        <f t="shared" si="0"/>
        <v>S-1.2</v>
      </c>
      <c r="D7" s="1" t="s">
        <v>203</v>
      </c>
      <c r="E7" s="1" t="s">
        <v>214</v>
      </c>
      <c r="F7" s="1" t="s">
        <v>0</v>
      </c>
      <c r="G7" s="1" t="s">
        <v>247</v>
      </c>
      <c r="H7" s="1" t="s">
        <v>237</v>
      </c>
    </row>
    <row r="8" spans="1:8" ht="32">
      <c r="A8" s="1" t="str">
        <f t="shared" si="1"/>
        <v>E007</v>
      </c>
      <c r="B8" s="1" t="s">
        <v>141</v>
      </c>
      <c r="C8" s="1" t="str">
        <f t="shared" si="0"/>
        <v>S-1.2</v>
      </c>
      <c r="D8" s="1" t="s">
        <v>203</v>
      </c>
      <c r="E8" s="1" t="s">
        <v>214</v>
      </c>
      <c r="F8" s="1" t="s">
        <v>0</v>
      </c>
      <c r="G8" s="1" t="s">
        <v>248</v>
      </c>
      <c r="H8" s="1" t="s">
        <v>240</v>
      </c>
    </row>
    <row r="9" spans="1:8" ht="32">
      <c r="A9" s="1" t="str">
        <f t="shared" si="1"/>
        <v>E008</v>
      </c>
      <c r="B9" s="1" t="s">
        <v>141</v>
      </c>
      <c r="C9" s="1" t="str">
        <f t="shared" si="0"/>
        <v>S-1.2</v>
      </c>
      <c r="D9" s="1" t="s">
        <v>227</v>
      </c>
      <c r="E9" s="1" t="s">
        <v>214</v>
      </c>
      <c r="F9" s="1" t="s">
        <v>1</v>
      </c>
      <c r="G9" s="1" t="s">
        <v>249</v>
      </c>
      <c r="H9" s="1" t="s">
        <v>250</v>
      </c>
    </row>
    <row r="10" spans="1:8" ht="16">
      <c r="A10" s="1" t="str">
        <f t="shared" si="1"/>
        <v/>
      </c>
      <c r="C10" s="1" t="str">
        <f t="shared" si="0"/>
        <v/>
      </c>
    </row>
    <row r="11" spans="1:8" ht="16">
      <c r="A11" s="1" t="str">
        <f t="shared" si="1"/>
        <v/>
      </c>
      <c r="C11" s="1" t="str">
        <f t="shared" si="0"/>
        <v/>
      </c>
    </row>
    <row r="12" spans="1:8" ht="16">
      <c r="A12" s="1" t="str">
        <f t="shared" si="1"/>
        <v/>
      </c>
      <c r="C12" s="1" t="str">
        <f t="shared" si="0"/>
        <v/>
      </c>
    </row>
    <row r="13" spans="1:8" ht="16">
      <c r="A13" s="1" t="str">
        <f t="shared" si="1"/>
        <v/>
      </c>
      <c r="C13" s="1" t="str">
        <f t="shared" si="0"/>
        <v/>
      </c>
    </row>
    <row r="14" spans="1:8" ht="16">
      <c r="A14" s="1" t="str">
        <f t="shared" si="1"/>
        <v/>
      </c>
      <c r="C14" s="1" t="str">
        <f t="shared" si="0"/>
        <v/>
      </c>
    </row>
    <row r="15" spans="1:8" ht="16">
      <c r="A15" s="1" t="str">
        <f t="shared" si="1"/>
        <v/>
      </c>
      <c r="C15" s="1" t="str">
        <f t="shared" si="0"/>
        <v/>
      </c>
    </row>
    <row r="16" spans="1:8" ht="16">
      <c r="A16" s="1" t="str">
        <f t="shared" si="1"/>
        <v/>
      </c>
      <c r="C16" s="1" t="str">
        <f t="shared" si="0"/>
        <v/>
      </c>
    </row>
    <row r="17" spans="1:3" ht="16">
      <c r="A17" s="1" t="str">
        <f t="shared" si="1"/>
        <v/>
      </c>
      <c r="C17" s="1" t="str">
        <f t="shared" si="0"/>
        <v/>
      </c>
    </row>
    <row r="18" spans="1:3" ht="16">
      <c r="A18" s="1" t="str">
        <f t="shared" si="1"/>
        <v/>
      </c>
      <c r="C18" s="1" t="str">
        <f t="shared" si="0"/>
        <v/>
      </c>
    </row>
    <row r="19" spans="1:3" ht="16">
      <c r="A19" s="1" t="str">
        <f t="shared" si="1"/>
        <v/>
      </c>
      <c r="C19" s="1" t="str">
        <f t="shared" si="0"/>
        <v/>
      </c>
    </row>
    <row r="20" spans="1:3" ht="16">
      <c r="A20" s="1" t="str">
        <f t="shared" si="1"/>
        <v/>
      </c>
      <c r="C20" s="1" t="str">
        <f t="shared" si="0"/>
        <v/>
      </c>
    </row>
    <row r="21" spans="1:3" ht="16">
      <c r="A21" s="1" t="str">
        <f t="shared" si="1"/>
        <v/>
      </c>
      <c r="C21" s="1" t="str">
        <f t="shared" si="0"/>
        <v/>
      </c>
    </row>
    <row r="22" spans="1:3" ht="16">
      <c r="A22" s="1" t="str">
        <f t="shared" si="1"/>
        <v/>
      </c>
      <c r="C22" s="1" t="str">
        <f t="shared" si="0"/>
        <v/>
      </c>
    </row>
    <row r="23" spans="1:3" ht="16">
      <c r="A23" s="1" t="str">
        <f t="shared" si="1"/>
        <v/>
      </c>
      <c r="C23" s="1" t="str">
        <f t="shared" si="0"/>
        <v/>
      </c>
    </row>
    <row r="24" spans="1:3" ht="16">
      <c r="A24" s="1" t="str">
        <f t="shared" si="1"/>
        <v/>
      </c>
      <c r="C24" s="1" t="str">
        <f t="shared" si="0"/>
        <v/>
      </c>
    </row>
    <row r="25" spans="1:3" ht="16">
      <c r="A25" s="1" t="str">
        <f t="shared" si="1"/>
        <v/>
      </c>
      <c r="C25" s="1" t="str">
        <f t="shared" si="0"/>
        <v/>
      </c>
    </row>
    <row r="26" spans="1:3" ht="16">
      <c r="A26" s="1" t="str">
        <f t="shared" si="1"/>
        <v/>
      </c>
      <c r="C26" s="1" t="str">
        <f t="shared" si="0"/>
        <v/>
      </c>
    </row>
    <row r="27" spans="1:3" ht="16">
      <c r="A27" s="1" t="str">
        <f t="shared" si="1"/>
        <v/>
      </c>
      <c r="C27" s="1" t="str">
        <f t="shared" si="0"/>
        <v/>
      </c>
    </row>
    <row r="28" spans="1:3" ht="16">
      <c r="A28" s="1" t="str">
        <f t="shared" si="1"/>
        <v/>
      </c>
      <c r="C28" s="1" t="str">
        <f t="shared" si="0"/>
        <v/>
      </c>
    </row>
    <row r="29" spans="1:3" ht="16">
      <c r="A29" s="1" t="str">
        <f t="shared" si="1"/>
        <v/>
      </c>
      <c r="C29" s="1" t="str">
        <f t="shared" si="0"/>
        <v/>
      </c>
    </row>
    <row r="30" spans="1:3" ht="16">
      <c r="A30" s="1" t="str">
        <f t="shared" si="1"/>
        <v/>
      </c>
      <c r="C30" s="1" t="str">
        <f t="shared" si="0"/>
        <v/>
      </c>
    </row>
    <row r="31" spans="1:3" ht="16">
      <c r="A31" s="1" t="str">
        <f t="shared" si="1"/>
        <v/>
      </c>
      <c r="C31" s="1" t="str">
        <f t="shared" si="0"/>
        <v/>
      </c>
    </row>
    <row r="32" spans="1:3" ht="16">
      <c r="A32" s="1" t="str">
        <f t="shared" si="1"/>
        <v/>
      </c>
      <c r="C32" s="1" t="str">
        <f t="shared" si="0"/>
        <v/>
      </c>
    </row>
    <row r="33" spans="1:3" ht="16">
      <c r="A33" s="1" t="str">
        <f t="shared" si="1"/>
        <v/>
      </c>
      <c r="C33" s="1" t="str">
        <f t="shared" si="0"/>
        <v/>
      </c>
    </row>
    <row r="34" spans="1:3" ht="16">
      <c r="A34" s="1" t="str">
        <f t="shared" si="1"/>
        <v/>
      </c>
      <c r="C34" s="1" t="str">
        <f t="shared" si="0"/>
        <v/>
      </c>
    </row>
    <row r="35" spans="1:3" ht="16">
      <c r="A35" s="1" t="str">
        <f t="shared" si="1"/>
        <v/>
      </c>
      <c r="C35" s="1" t="str">
        <f t="shared" si="0"/>
        <v/>
      </c>
    </row>
    <row r="36" spans="1:3" ht="16">
      <c r="A36" s="1" t="str">
        <f t="shared" si="1"/>
        <v/>
      </c>
      <c r="C36" s="1" t="str">
        <f t="shared" si="0"/>
        <v/>
      </c>
    </row>
    <row r="37" spans="1:3" ht="16">
      <c r="A37" s="1" t="str">
        <f t="shared" si="1"/>
        <v/>
      </c>
      <c r="C37" s="1" t="str">
        <f t="shared" si="0"/>
        <v/>
      </c>
    </row>
    <row r="38" spans="1:3" ht="16">
      <c r="A38" s="1" t="str">
        <f t="shared" si="1"/>
        <v/>
      </c>
      <c r="C38" s="1" t="str">
        <f t="shared" si="0"/>
        <v/>
      </c>
    </row>
    <row r="39" spans="1:3" ht="16">
      <c r="A39" s="1" t="str">
        <f t="shared" si="1"/>
        <v/>
      </c>
      <c r="C39" s="1" t="str">
        <f t="shared" si="0"/>
        <v/>
      </c>
    </row>
    <row r="40" spans="1:3" ht="16">
      <c r="A40" s="1" t="str">
        <f t="shared" si="1"/>
        <v/>
      </c>
      <c r="C40" s="1" t="str">
        <f t="shared" si="0"/>
        <v/>
      </c>
    </row>
    <row r="41" spans="1:3" ht="16">
      <c r="A41" s="1" t="str">
        <f t="shared" si="1"/>
        <v/>
      </c>
      <c r="C41" s="1" t="str">
        <f t="shared" si="0"/>
        <v/>
      </c>
    </row>
    <row r="42" spans="1:3" ht="16">
      <c r="A42" s="1" t="str">
        <f t="shared" si="1"/>
        <v/>
      </c>
      <c r="C42" s="1" t="str">
        <f t="shared" si="0"/>
        <v/>
      </c>
    </row>
    <row r="43" spans="1:3" ht="16">
      <c r="A43" s="1" t="str">
        <f t="shared" si="1"/>
        <v/>
      </c>
      <c r="C43" s="1" t="str">
        <f t="shared" si="0"/>
        <v/>
      </c>
    </row>
    <row r="44" spans="1:3" ht="16">
      <c r="A44" s="1" t="str">
        <f t="shared" si="1"/>
        <v/>
      </c>
      <c r="C44" s="1" t="str">
        <f t="shared" si="0"/>
        <v/>
      </c>
    </row>
    <row r="45" spans="1:3" ht="16">
      <c r="A45" s="1" t="str">
        <f t="shared" si="1"/>
        <v/>
      </c>
      <c r="C45" s="1" t="str">
        <f t="shared" si="0"/>
        <v/>
      </c>
    </row>
    <row r="46" spans="1:3" ht="16">
      <c r="A46" s="1" t="str">
        <f t="shared" si="1"/>
        <v/>
      </c>
      <c r="C46" s="1" t="str">
        <f t="shared" si="0"/>
        <v/>
      </c>
    </row>
    <row r="47" spans="1:3" ht="16">
      <c r="A47" s="1" t="str">
        <f t="shared" si="1"/>
        <v/>
      </c>
      <c r="C47" s="1" t="str">
        <f t="shared" si="0"/>
        <v/>
      </c>
    </row>
    <row r="48" spans="1:3" ht="16">
      <c r="A48" s="1" t="str">
        <f t="shared" si="1"/>
        <v/>
      </c>
      <c r="C48" s="1" t="str">
        <f t="shared" si="0"/>
        <v/>
      </c>
    </row>
    <row r="49" spans="1:3" ht="16">
      <c r="A49" s="1" t="str">
        <f t="shared" si="1"/>
        <v/>
      </c>
      <c r="C49" s="1" t="str">
        <f t="shared" si="0"/>
        <v/>
      </c>
    </row>
    <row r="50" spans="1:3" ht="16">
      <c r="A50" s="1" t="str">
        <f t="shared" si="1"/>
        <v/>
      </c>
      <c r="C50" s="1" t="str">
        <f t="shared" si="0"/>
        <v/>
      </c>
    </row>
    <row r="51" spans="1:3" ht="16">
      <c r="A51" s="1" t="str">
        <f t="shared" si="1"/>
        <v/>
      </c>
      <c r="C51" s="1" t="str">
        <f t="shared" si="0"/>
        <v/>
      </c>
    </row>
    <row r="52" spans="1:3" ht="16">
      <c r="A52" s="1" t="str">
        <f t="shared" si="1"/>
        <v/>
      </c>
      <c r="C52" s="1" t="str">
        <f t="shared" si="0"/>
        <v/>
      </c>
    </row>
    <row r="53" spans="1:3" ht="16">
      <c r="A53" s="1" t="str">
        <f t="shared" si="1"/>
        <v/>
      </c>
      <c r="C53" s="1" t="str">
        <f t="shared" si="0"/>
        <v/>
      </c>
    </row>
    <row r="54" spans="1:3" ht="16">
      <c r="A54" s="1" t="str">
        <f t="shared" si="1"/>
        <v/>
      </c>
      <c r="C54" s="1" t="str">
        <f t="shared" si="0"/>
        <v/>
      </c>
    </row>
    <row r="55" spans="1:3" ht="16">
      <c r="A55" s="1" t="str">
        <f t="shared" si="1"/>
        <v/>
      </c>
      <c r="C55" s="1" t="str">
        <f t="shared" si="0"/>
        <v/>
      </c>
    </row>
    <row r="56" spans="1:3" ht="16">
      <c r="A56" s="1" t="str">
        <f t="shared" si="1"/>
        <v/>
      </c>
      <c r="C56" s="1" t="str">
        <f t="shared" si="0"/>
        <v/>
      </c>
    </row>
    <row r="57" spans="1:3" ht="16">
      <c r="A57" s="1" t="str">
        <f t="shared" si="1"/>
        <v/>
      </c>
      <c r="C57" s="1" t="str">
        <f t="shared" si="0"/>
        <v/>
      </c>
    </row>
    <row r="58" spans="1:3" ht="16">
      <c r="A58" s="1" t="str">
        <f t="shared" si="1"/>
        <v/>
      </c>
      <c r="C58" s="1" t="str">
        <f t="shared" si="0"/>
        <v/>
      </c>
    </row>
    <row r="59" spans="1:3" ht="16">
      <c r="A59" s="1" t="str">
        <f t="shared" si="1"/>
        <v/>
      </c>
      <c r="C59" s="1" t="str">
        <f t="shared" si="0"/>
        <v/>
      </c>
    </row>
    <row r="60" spans="1:3" ht="16">
      <c r="A60" s="1" t="str">
        <f t="shared" si="1"/>
        <v/>
      </c>
      <c r="C60" s="1" t="str">
        <f t="shared" si="0"/>
        <v/>
      </c>
    </row>
    <row r="61" spans="1:3" ht="16">
      <c r="A61" s="1" t="str">
        <f t="shared" si="1"/>
        <v/>
      </c>
      <c r="C61" s="1" t="str">
        <f t="shared" si="0"/>
        <v/>
      </c>
    </row>
    <row r="62" spans="1:3" ht="16">
      <c r="A62" s="1" t="str">
        <f t="shared" si="1"/>
        <v/>
      </c>
      <c r="C62" s="1" t="str">
        <f t="shared" si="0"/>
        <v/>
      </c>
    </row>
    <row r="63" spans="1:3" ht="16">
      <c r="A63" s="1" t="str">
        <f t="shared" si="1"/>
        <v/>
      </c>
      <c r="C63" s="1" t="str">
        <f t="shared" si="0"/>
        <v/>
      </c>
    </row>
    <row r="64" spans="1:3" ht="16">
      <c r="A64" s="1" t="str">
        <f t="shared" si="1"/>
        <v/>
      </c>
      <c r="C64" s="1" t="str">
        <f t="shared" si="0"/>
        <v/>
      </c>
    </row>
    <row r="65" spans="1:3" ht="16">
      <c r="A65" s="1" t="str">
        <f t="shared" si="1"/>
        <v/>
      </c>
      <c r="C65" s="1" t="str">
        <f t="shared" si="0"/>
        <v/>
      </c>
    </row>
    <row r="66" spans="1:3" ht="16">
      <c r="A66" s="1" t="str">
        <f t="shared" si="1"/>
        <v/>
      </c>
      <c r="C66" s="1" t="str">
        <f t="shared" ref="C66:C129" si="2">IF(LEN(IFERROR(VLOOKUP(B66,Reqs_and_Explanation,3,FALSE),""))&lt;3,"",IFERROR(VLOOKUP(B66,Reqs_and_Explanation,3,FALSE),""))</f>
        <v/>
      </c>
    </row>
    <row r="67" spans="1:3" ht="16">
      <c r="A67" s="1" t="str">
        <f t="shared" ref="A67:A130" si="3">IF(ISBLANK(B67),"","E"&amp;TEXT(ROW()-1,"000"))</f>
        <v/>
      </c>
      <c r="C67" s="1" t="str">
        <f t="shared" si="2"/>
        <v/>
      </c>
    </row>
    <row r="68" spans="1:3" ht="16">
      <c r="A68" s="1" t="str">
        <f t="shared" si="3"/>
        <v/>
      </c>
      <c r="C68" s="1" t="str">
        <f t="shared" si="2"/>
        <v/>
      </c>
    </row>
    <row r="69" spans="1:3" ht="16">
      <c r="A69" s="1" t="str">
        <f t="shared" si="3"/>
        <v/>
      </c>
      <c r="C69" s="1" t="str">
        <f t="shared" si="2"/>
        <v/>
      </c>
    </row>
    <row r="70" spans="1:3" ht="16">
      <c r="A70" s="1" t="str">
        <f t="shared" si="3"/>
        <v/>
      </c>
      <c r="C70" s="1" t="str">
        <f t="shared" si="2"/>
        <v/>
      </c>
    </row>
    <row r="71" spans="1:3" ht="16">
      <c r="A71" s="1" t="str">
        <f t="shared" si="3"/>
        <v/>
      </c>
      <c r="C71" s="1" t="str">
        <f t="shared" si="2"/>
        <v/>
      </c>
    </row>
    <row r="72" spans="1:3" ht="16">
      <c r="A72" s="1" t="str">
        <f t="shared" si="3"/>
        <v/>
      </c>
      <c r="C72" s="1" t="str">
        <f t="shared" si="2"/>
        <v/>
      </c>
    </row>
    <row r="73" spans="1:3" ht="16">
      <c r="A73" s="1" t="str">
        <f t="shared" si="3"/>
        <v/>
      </c>
      <c r="C73" s="1" t="str">
        <f t="shared" si="2"/>
        <v/>
      </c>
    </row>
    <row r="74" spans="1:3" ht="16">
      <c r="A74" s="1" t="str">
        <f t="shared" si="3"/>
        <v/>
      </c>
      <c r="C74" s="1" t="str">
        <f t="shared" si="2"/>
        <v/>
      </c>
    </row>
    <row r="75" spans="1:3" ht="16">
      <c r="A75" s="1" t="str">
        <f t="shared" si="3"/>
        <v/>
      </c>
      <c r="C75" s="1" t="str">
        <f t="shared" si="2"/>
        <v/>
      </c>
    </row>
    <row r="76" spans="1:3" ht="16">
      <c r="A76" s="1" t="str">
        <f t="shared" si="3"/>
        <v/>
      </c>
      <c r="C76" s="1" t="str">
        <f t="shared" si="2"/>
        <v/>
      </c>
    </row>
    <row r="77" spans="1:3" ht="16">
      <c r="A77" s="1" t="str">
        <f t="shared" si="3"/>
        <v/>
      </c>
      <c r="C77" s="1" t="str">
        <f t="shared" si="2"/>
        <v/>
      </c>
    </row>
    <row r="78" spans="1:3" ht="16">
      <c r="A78" s="1" t="str">
        <f t="shared" si="3"/>
        <v/>
      </c>
      <c r="C78" s="1" t="str">
        <f t="shared" si="2"/>
        <v/>
      </c>
    </row>
    <row r="79" spans="1:3" ht="16">
      <c r="A79" s="1" t="str">
        <f t="shared" si="3"/>
        <v/>
      </c>
      <c r="C79" s="1" t="str">
        <f t="shared" si="2"/>
        <v/>
      </c>
    </row>
    <row r="80" spans="1:3" ht="16">
      <c r="A80" s="1" t="str">
        <f t="shared" si="3"/>
        <v/>
      </c>
      <c r="C80" s="1" t="str">
        <f t="shared" si="2"/>
        <v/>
      </c>
    </row>
    <row r="81" spans="1:3" ht="16">
      <c r="A81" s="1" t="str">
        <f t="shared" si="3"/>
        <v/>
      </c>
      <c r="C81" s="1" t="str">
        <f t="shared" si="2"/>
        <v/>
      </c>
    </row>
    <row r="82" spans="1:3" ht="16">
      <c r="A82" s="1" t="str">
        <f t="shared" si="3"/>
        <v/>
      </c>
      <c r="C82" s="1" t="str">
        <f t="shared" si="2"/>
        <v/>
      </c>
    </row>
    <row r="83" spans="1:3" ht="16">
      <c r="A83" s="1" t="str">
        <f t="shared" si="3"/>
        <v/>
      </c>
      <c r="C83" s="1" t="str">
        <f t="shared" si="2"/>
        <v/>
      </c>
    </row>
    <row r="84" spans="1:3" ht="16">
      <c r="A84" s="1" t="str">
        <f t="shared" si="3"/>
        <v/>
      </c>
      <c r="C84" s="1" t="str">
        <f t="shared" si="2"/>
        <v/>
      </c>
    </row>
    <row r="85" spans="1:3" ht="16">
      <c r="A85" s="1" t="str">
        <f t="shared" si="3"/>
        <v/>
      </c>
      <c r="C85" s="1" t="str">
        <f t="shared" si="2"/>
        <v/>
      </c>
    </row>
    <row r="86" spans="1:3" ht="16">
      <c r="A86" s="1" t="str">
        <f t="shared" si="3"/>
        <v/>
      </c>
      <c r="C86" s="1" t="str">
        <f t="shared" si="2"/>
        <v/>
      </c>
    </row>
    <row r="87" spans="1:3" ht="16">
      <c r="A87" s="1" t="str">
        <f t="shared" si="3"/>
        <v/>
      </c>
      <c r="C87" s="1" t="str">
        <f t="shared" si="2"/>
        <v/>
      </c>
    </row>
    <row r="88" spans="1:3" ht="16">
      <c r="A88" s="1" t="str">
        <f t="shared" si="3"/>
        <v/>
      </c>
      <c r="C88" s="1" t="str">
        <f t="shared" si="2"/>
        <v/>
      </c>
    </row>
    <row r="89" spans="1:3" ht="16">
      <c r="A89" s="1" t="str">
        <f t="shared" si="3"/>
        <v/>
      </c>
      <c r="C89" s="1" t="str">
        <f t="shared" si="2"/>
        <v/>
      </c>
    </row>
    <row r="90" spans="1:3" ht="16">
      <c r="A90" s="1" t="str">
        <f t="shared" si="3"/>
        <v/>
      </c>
      <c r="C90" s="1" t="str">
        <f t="shared" si="2"/>
        <v/>
      </c>
    </row>
    <row r="91" spans="1:3" ht="16">
      <c r="A91" s="1" t="str">
        <f t="shared" si="3"/>
        <v/>
      </c>
      <c r="C91" s="1" t="str">
        <f t="shared" si="2"/>
        <v/>
      </c>
    </row>
    <row r="92" spans="1:3" ht="16">
      <c r="A92" s="1" t="str">
        <f t="shared" si="3"/>
        <v/>
      </c>
      <c r="C92" s="1" t="str">
        <f t="shared" si="2"/>
        <v/>
      </c>
    </row>
    <row r="93" spans="1:3" ht="16">
      <c r="A93" s="1" t="str">
        <f t="shared" si="3"/>
        <v/>
      </c>
      <c r="C93" s="1" t="str">
        <f t="shared" si="2"/>
        <v/>
      </c>
    </row>
    <row r="94" spans="1:3" ht="16">
      <c r="A94" s="1" t="str">
        <f t="shared" si="3"/>
        <v/>
      </c>
      <c r="C94" s="1" t="str">
        <f t="shared" si="2"/>
        <v/>
      </c>
    </row>
    <row r="95" spans="1:3" ht="16">
      <c r="A95" s="1" t="str">
        <f t="shared" si="3"/>
        <v/>
      </c>
      <c r="C95" s="1" t="str">
        <f t="shared" si="2"/>
        <v/>
      </c>
    </row>
    <row r="96" spans="1:3" ht="16">
      <c r="A96" s="1" t="str">
        <f t="shared" si="3"/>
        <v/>
      </c>
      <c r="C96" s="1" t="str">
        <f t="shared" si="2"/>
        <v/>
      </c>
    </row>
    <row r="97" spans="1:3" ht="16">
      <c r="A97" s="1" t="str">
        <f t="shared" si="3"/>
        <v/>
      </c>
      <c r="C97" s="1" t="str">
        <f t="shared" si="2"/>
        <v/>
      </c>
    </row>
    <row r="98" spans="1:3" ht="16">
      <c r="A98" s="1" t="str">
        <f t="shared" si="3"/>
        <v/>
      </c>
      <c r="C98" s="1" t="str">
        <f t="shared" si="2"/>
        <v/>
      </c>
    </row>
    <row r="99" spans="1:3" ht="16">
      <c r="A99" s="1" t="str">
        <f t="shared" si="3"/>
        <v/>
      </c>
      <c r="C99" s="1" t="str">
        <f t="shared" si="2"/>
        <v/>
      </c>
    </row>
    <row r="100" spans="1:3" ht="16">
      <c r="A100" s="1" t="str">
        <f t="shared" si="3"/>
        <v/>
      </c>
      <c r="C100" s="1" t="str">
        <f t="shared" si="2"/>
        <v/>
      </c>
    </row>
    <row r="101" spans="1:3" ht="16">
      <c r="A101" s="1" t="str">
        <f t="shared" si="3"/>
        <v/>
      </c>
      <c r="C101" s="1" t="str">
        <f t="shared" si="2"/>
        <v/>
      </c>
    </row>
    <row r="102" spans="1:3" ht="16">
      <c r="A102" s="1" t="str">
        <f t="shared" si="3"/>
        <v/>
      </c>
      <c r="C102" s="1" t="str">
        <f t="shared" si="2"/>
        <v/>
      </c>
    </row>
    <row r="103" spans="1:3" ht="16">
      <c r="A103" s="1" t="str">
        <f t="shared" si="3"/>
        <v/>
      </c>
      <c r="C103" s="1" t="str">
        <f t="shared" si="2"/>
        <v/>
      </c>
    </row>
    <row r="104" spans="1:3" ht="16">
      <c r="A104" s="1" t="str">
        <f t="shared" si="3"/>
        <v/>
      </c>
      <c r="C104" s="1" t="str">
        <f t="shared" si="2"/>
        <v/>
      </c>
    </row>
    <row r="105" spans="1:3" ht="16">
      <c r="A105" s="1" t="str">
        <f t="shared" si="3"/>
        <v/>
      </c>
      <c r="C105" s="1" t="str">
        <f t="shared" si="2"/>
        <v/>
      </c>
    </row>
    <row r="106" spans="1:3" ht="16">
      <c r="A106" s="1" t="str">
        <f t="shared" si="3"/>
        <v/>
      </c>
      <c r="C106" s="1" t="str">
        <f t="shared" si="2"/>
        <v/>
      </c>
    </row>
    <row r="107" spans="1:3" ht="16">
      <c r="A107" s="1" t="str">
        <f t="shared" si="3"/>
        <v/>
      </c>
      <c r="C107" s="1" t="str">
        <f t="shared" si="2"/>
        <v/>
      </c>
    </row>
    <row r="108" spans="1:3" ht="16">
      <c r="A108" s="1" t="str">
        <f t="shared" si="3"/>
        <v/>
      </c>
      <c r="C108" s="1" t="str">
        <f t="shared" si="2"/>
        <v/>
      </c>
    </row>
    <row r="109" spans="1:3" ht="16">
      <c r="A109" s="1" t="str">
        <f t="shared" si="3"/>
        <v/>
      </c>
      <c r="C109" s="1" t="str">
        <f t="shared" si="2"/>
        <v/>
      </c>
    </row>
    <row r="110" spans="1:3" ht="16">
      <c r="A110" s="1" t="str">
        <f t="shared" si="3"/>
        <v/>
      </c>
      <c r="C110" s="1" t="str">
        <f t="shared" si="2"/>
        <v/>
      </c>
    </row>
    <row r="111" spans="1:3" ht="16">
      <c r="A111" s="1" t="str">
        <f t="shared" si="3"/>
        <v/>
      </c>
      <c r="C111" s="1" t="str">
        <f t="shared" si="2"/>
        <v/>
      </c>
    </row>
    <row r="112" spans="1:3" ht="16">
      <c r="A112" s="1" t="str">
        <f t="shared" si="3"/>
        <v/>
      </c>
      <c r="C112" s="1" t="str">
        <f t="shared" si="2"/>
        <v/>
      </c>
    </row>
    <row r="113" spans="1:3" ht="16">
      <c r="A113" s="1" t="str">
        <f t="shared" si="3"/>
        <v/>
      </c>
      <c r="C113" s="1" t="str">
        <f t="shared" si="2"/>
        <v/>
      </c>
    </row>
    <row r="114" spans="1:3" ht="16">
      <c r="A114" s="1" t="str">
        <f t="shared" si="3"/>
        <v/>
      </c>
      <c r="C114" s="1" t="str">
        <f t="shared" si="2"/>
        <v/>
      </c>
    </row>
    <row r="115" spans="1:3" ht="16">
      <c r="A115" s="1" t="str">
        <f t="shared" si="3"/>
        <v/>
      </c>
      <c r="C115" s="1" t="str">
        <f t="shared" si="2"/>
        <v/>
      </c>
    </row>
    <row r="116" spans="1:3" ht="16">
      <c r="A116" s="1" t="str">
        <f t="shared" si="3"/>
        <v/>
      </c>
      <c r="C116" s="1" t="str">
        <f t="shared" si="2"/>
        <v/>
      </c>
    </row>
    <row r="117" spans="1:3" ht="16">
      <c r="A117" s="1" t="str">
        <f t="shared" si="3"/>
        <v/>
      </c>
      <c r="C117" s="1" t="str">
        <f t="shared" si="2"/>
        <v/>
      </c>
    </row>
    <row r="118" spans="1:3" ht="16">
      <c r="A118" s="1" t="str">
        <f t="shared" si="3"/>
        <v/>
      </c>
      <c r="C118" s="1" t="str">
        <f t="shared" si="2"/>
        <v/>
      </c>
    </row>
    <row r="119" spans="1:3" ht="16">
      <c r="A119" s="1" t="str">
        <f t="shared" si="3"/>
        <v/>
      </c>
      <c r="C119" s="1" t="str">
        <f t="shared" si="2"/>
        <v/>
      </c>
    </row>
    <row r="120" spans="1:3" ht="16">
      <c r="A120" s="1" t="str">
        <f t="shared" si="3"/>
        <v/>
      </c>
      <c r="C120" s="1" t="str">
        <f t="shared" si="2"/>
        <v/>
      </c>
    </row>
    <row r="121" spans="1:3" ht="16">
      <c r="A121" s="1" t="str">
        <f t="shared" si="3"/>
        <v/>
      </c>
      <c r="C121" s="1" t="str">
        <f t="shared" si="2"/>
        <v/>
      </c>
    </row>
    <row r="122" spans="1:3" ht="16">
      <c r="A122" s="1" t="str">
        <f t="shared" si="3"/>
        <v/>
      </c>
      <c r="C122" s="1" t="str">
        <f t="shared" si="2"/>
        <v/>
      </c>
    </row>
    <row r="123" spans="1:3" ht="16">
      <c r="A123" s="1" t="str">
        <f t="shared" si="3"/>
        <v/>
      </c>
      <c r="C123" s="1" t="str">
        <f t="shared" si="2"/>
        <v/>
      </c>
    </row>
    <row r="124" spans="1:3" ht="16">
      <c r="A124" s="1" t="str">
        <f t="shared" si="3"/>
        <v/>
      </c>
      <c r="C124" s="1" t="str">
        <f t="shared" si="2"/>
        <v/>
      </c>
    </row>
    <row r="125" spans="1:3" ht="16">
      <c r="A125" s="1" t="str">
        <f t="shared" si="3"/>
        <v/>
      </c>
      <c r="C125" s="1" t="str">
        <f t="shared" si="2"/>
        <v/>
      </c>
    </row>
    <row r="126" spans="1:3" ht="16">
      <c r="A126" s="1" t="str">
        <f t="shared" si="3"/>
        <v/>
      </c>
      <c r="C126" s="1" t="str">
        <f t="shared" si="2"/>
        <v/>
      </c>
    </row>
    <row r="127" spans="1:3" ht="16">
      <c r="A127" s="1" t="str">
        <f t="shared" si="3"/>
        <v/>
      </c>
      <c r="C127" s="1" t="str">
        <f t="shared" si="2"/>
        <v/>
      </c>
    </row>
    <row r="128" spans="1:3" ht="16">
      <c r="A128" s="1" t="str">
        <f t="shared" si="3"/>
        <v/>
      </c>
      <c r="C128" s="1" t="str">
        <f t="shared" si="2"/>
        <v/>
      </c>
    </row>
    <row r="129" spans="1:3" ht="16">
      <c r="A129" s="1" t="str">
        <f t="shared" si="3"/>
        <v/>
      </c>
      <c r="C129" s="1" t="str">
        <f t="shared" si="2"/>
        <v/>
      </c>
    </row>
    <row r="130" spans="1:3" ht="16">
      <c r="A130" s="1" t="str">
        <f t="shared" si="3"/>
        <v/>
      </c>
      <c r="C130" s="1" t="str">
        <f t="shared" ref="C130:C193" si="4">IF(LEN(IFERROR(VLOOKUP(B130,Reqs_and_Explanation,3,FALSE),""))&lt;3,"",IFERROR(VLOOKUP(B130,Reqs_and_Explanation,3,FALSE),""))</f>
        <v/>
      </c>
    </row>
    <row r="131" spans="1:3" ht="16">
      <c r="A131" s="1" t="str">
        <f t="shared" ref="A131:A194" si="5">IF(ISBLANK(B131),"","E"&amp;TEXT(ROW()-1,"000"))</f>
        <v/>
      </c>
      <c r="C131" s="1" t="str">
        <f t="shared" si="4"/>
        <v/>
      </c>
    </row>
    <row r="132" spans="1:3" ht="16">
      <c r="A132" s="1" t="str">
        <f t="shared" si="5"/>
        <v/>
      </c>
      <c r="C132" s="1" t="str">
        <f t="shared" si="4"/>
        <v/>
      </c>
    </row>
    <row r="133" spans="1:3" ht="16">
      <c r="A133" s="1" t="str">
        <f t="shared" si="5"/>
        <v/>
      </c>
      <c r="C133" s="1" t="str">
        <f t="shared" si="4"/>
        <v/>
      </c>
    </row>
    <row r="134" spans="1:3" ht="16">
      <c r="A134" s="1" t="str">
        <f t="shared" si="5"/>
        <v/>
      </c>
      <c r="C134" s="1" t="str">
        <f t="shared" si="4"/>
        <v/>
      </c>
    </row>
    <row r="135" spans="1:3" ht="16">
      <c r="A135" s="1" t="str">
        <f t="shared" si="5"/>
        <v/>
      </c>
      <c r="C135" s="1" t="str">
        <f t="shared" si="4"/>
        <v/>
      </c>
    </row>
    <row r="136" spans="1:3" ht="16">
      <c r="A136" s="1" t="str">
        <f t="shared" si="5"/>
        <v/>
      </c>
      <c r="C136" s="1" t="str">
        <f t="shared" si="4"/>
        <v/>
      </c>
    </row>
    <row r="137" spans="1:3" ht="16">
      <c r="A137" s="1" t="str">
        <f t="shared" si="5"/>
        <v/>
      </c>
      <c r="C137" s="1" t="str">
        <f t="shared" si="4"/>
        <v/>
      </c>
    </row>
    <row r="138" spans="1:3" ht="16">
      <c r="A138" s="1" t="str">
        <f t="shared" si="5"/>
        <v/>
      </c>
      <c r="C138" s="1" t="str">
        <f t="shared" si="4"/>
        <v/>
      </c>
    </row>
    <row r="139" spans="1:3" ht="16">
      <c r="A139" s="1" t="str">
        <f t="shared" si="5"/>
        <v/>
      </c>
      <c r="C139" s="1" t="str">
        <f t="shared" si="4"/>
        <v/>
      </c>
    </row>
    <row r="140" spans="1:3" ht="16">
      <c r="A140" s="1" t="str">
        <f t="shared" si="5"/>
        <v/>
      </c>
      <c r="C140" s="1" t="str">
        <f t="shared" si="4"/>
        <v/>
      </c>
    </row>
    <row r="141" spans="1:3" ht="16">
      <c r="A141" s="1" t="str">
        <f t="shared" si="5"/>
        <v/>
      </c>
      <c r="C141" s="1" t="str">
        <f t="shared" si="4"/>
        <v/>
      </c>
    </row>
    <row r="142" spans="1:3" ht="16">
      <c r="A142" s="1" t="str">
        <f t="shared" si="5"/>
        <v/>
      </c>
      <c r="C142" s="1" t="str">
        <f t="shared" si="4"/>
        <v/>
      </c>
    </row>
    <row r="143" spans="1:3" ht="16">
      <c r="A143" s="1" t="str">
        <f t="shared" si="5"/>
        <v/>
      </c>
      <c r="C143" s="1" t="str">
        <f t="shared" si="4"/>
        <v/>
      </c>
    </row>
    <row r="144" spans="1:3" ht="16">
      <c r="A144" s="1" t="str">
        <f t="shared" si="5"/>
        <v/>
      </c>
      <c r="C144" s="1" t="str">
        <f t="shared" si="4"/>
        <v/>
      </c>
    </row>
    <row r="145" spans="1:3" ht="16">
      <c r="A145" s="1" t="str">
        <f t="shared" si="5"/>
        <v/>
      </c>
      <c r="C145" s="1" t="str">
        <f t="shared" si="4"/>
        <v/>
      </c>
    </row>
    <row r="146" spans="1:3" ht="16">
      <c r="A146" s="1" t="str">
        <f t="shared" si="5"/>
        <v/>
      </c>
      <c r="C146" s="1" t="str">
        <f t="shared" si="4"/>
        <v/>
      </c>
    </row>
    <row r="147" spans="1:3" ht="16">
      <c r="A147" s="1" t="str">
        <f t="shared" si="5"/>
        <v/>
      </c>
      <c r="C147" s="1" t="str">
        <f t="shared" si="4"/>
        <v/>
      </c>
    </row>
    <row r="148" spans="1:3" ht="16">
      <c r="A148" s="1" t="str">
        <f t="shared" si="5"/>
        <v/>
      </c>
      <c r="C148" s="1" t="str">
        <f t="shared" si="4"/>
        <v/>
      </c>
    </row>
    <row r="149" spans="1:3" ht="16">
      <c r="A149" s="1" t="str">
        <f t="shared" si="5"/>
        <v/>
      </c>
      <c r="C149" s="1" t="str">
        <f t="shared" si="4"/>
        <v/>
      </c>
    </row>
    <row r="150" spans="1:3" ht="16">
      <c r="A150" s="1" t="str">
        <f t="shared" si="5"/>
        <v/>
      </c>
      <c r="C150" s="1" t="str">
        <f t="shared" si="4"/>
        <v/>
      </c>
    </row>
    <row r="151" spans="1:3" ht="16">
      <c r="A151" s="1" t="str">
        <f t="shared" si="5"/>
        <v/>
      </c>
      <c r="C151" s="1" t="str">
        <f t="shared" si="4"/>
        <v/>
      </c>
    </row>
    <row r="152" spans="1:3" ht="16">
      <c r="A152" s="1" t="str">
        <f t="shared" si="5"/>
        <v/>
      </c>
      <c r="C152" s="1" t="str">
        <f t="shared" si="4"/>
        <v/>
      </c>
    </row>
    <row r="153" spans="1:3" ht="16">
      <c r="A153" s="1" t="str">
        <f t="shared" si="5"/>
        <v/>
      </c>
      <c r="C153" s="1" t="str">
        <f t="shared" si="4"/>
        <v/>
      </c>
    </row>
    <row r="154" spans="1:3" ht="16">
      <c r="A154" s="1" t="str">
        <f t="shared" si="5"/>
        <v/>
      </c>
      <c r="C154" s="1" t="str">
        <f t="shared" si="4"/>
        <v/>
      </c>
    </row>
    <row r="155" spans="1:3" ht="16">
      <c r="A155" s="1" t="str">
        <f t="shared" si="5"/>
        <v/>
      </c>
      <c r="C155" s="1" t="str">
        <f t="shared" si="4"/>
        <v/>
      </c>
    </row>
    <row r="156" spans="1:3" ht="16">
      <c r="A156" s="1" t="str">
        <f t="shared" si="5"/>
        <v/>
      </c>
      <c r="C156" s="1" t="str">
        <f t="shared" si="4"/>
        <v/>
      </c>
    </row>
    <row r="157" spans="1:3" ht="16">
      <c r="A157" s="1" t="str">
        <f t="shared" si="5"/>
        <v/>
      </c>
      <c r="C157" s="1" t="str">
        <f t="shared" si="4"/>
        <v/>
      </c>
    </row>
    <row r="158" spans="1:3" ht="16">
      <c r="A158" s="1" t="str">
        <f t="shared" si="5"/>
        <v/>
      </c>
      <c r="C158" s="1" t="str">
        <f t="shared" si="4"/>
        <v/>
      </c>
    </row>
    <row r="159" spans="1:3" ht="16">
      <c r="A159" s="1" t="str">
        <f t="shared" si="5"/>
        <v/>
      </c>
      <c r="C159" s="1" t="str">
        <f t="shared" si="4"/>
        <v/>
      </c>
    </row>
    <row r="160" spans="1:3" ht="16">
      <c r="A160" s="1" t="str">
        <f t="shared" si="5"/>
        <v/>
      </c>
      <c r="C160" s="1" t="str">
        <f t="shared" si="4"/>
        <v/>
      </c>
    </row>
    <row r="161" spans="1:3" ht="16">
      <c r="A161" s="1" t="str">
        <f t="shared" si="5"/>
        <v/>
      </c>
      <c r="C161" s="1" t="str">
        <f t="shared" si="4"/>
        <v/>
      </c>
    </row>
    <row r="162" spans="1:3" ht="16">
      <c r="A162" s="1" t="str">
        <f t="shared" si="5"/>
        <v/>
      </c>
      <c r="C162" s="1" t="str">
        <f t="shared" si="4"/>
        <v/>
      </c>
    </row>
    <row r="163" spans="1:3" ht="16">
      <c r="A163" s="1" t="str">
        <f t="shared" si="5"/>
        <v/>
      </c>
      <c r="C163" s="1" t="str">
        <f t="shared" si="4"/>
        <v/>
      </c>
    </row>
    <row r="164" spans="1:3" ht="16">
      <c r="A164" s="1" t="str">
        <f t="shared" si="5"/>
        <v/>
      </c>
      <c r="C164" s="1" t="str">
        <f t="shared" si="4"/>
        <v/>
      </c>
    </row>
    <row r="165" spans="1:3" ht="16">
      <c r="A165" s="1" t="str">
        <f t="shared" si="5"/>
        <v/>
      </c>
      <c r="C165" s="1" t="str">
        <f t="shared" si="4"/>
        <v/>
      </c>
    </row>
    <row r="166" spans="1:3" ht="16">
      <c r="A166" s="1" t="str">
        <f t="shared" si="5"/>
        <v/>
      </c>
      <c r="C166" s="1" t="str">
        <f t="shared" si="4"/>
        <v/>
      </c>
    </row>
    <row r="167" spans="1:3" ht="16">
      <c r="A167" s="1" t="str">
        <f t="shared" si="5"/>
        <v/>
      </c>
      <c r="C167" s="1" t="str">
        <f t="shared" si="4"/>
        <v/>
      </c>
    </row>
    <row r="168" spans="1:3" ht="16">
      <c r="A168" s="1" t="str">
        <f t="shared" si="5"/>
        <v/>
      </c>
      <c r="C168" s="1" t="str">
        <f t="shared" si="4"/>
        <v/>
      </c>
    </row>
    <row r="169" spans="1:3" ht="16">
      <c r="A169" s="1" t="str">
        <f t="shared" si="5"/>
        <v/>
      </c>
      <c r="C169" s="1" t="str">
        <f t="shared" si="4"/>
        <v/>
      </c>
    </row>
    <row r="170" spans="1:3" ht="16">
      <c r="A170" s="1" t="str">
        <f t="shared" si="5"/>
        <v/>
      </c>
      <c r="C170" s="1" t="str">
        <f t="shared" si="4"/>
        <v/>
      </c>
    </row>
    <row r="171" spans="1:3" ht="16">
      <c r="A171" s="1" t="str">
        <f t="shared" si="5"/>
        <v/>
      </c>
      <c r="C171" s="1" t="str">
        <f t="shared" si="4"/>
        <v/>
      </c>
    </row>
    <row r="172" spans="1:3" ht="16">
      <c r="A172" s="1" t="str">
        <f t="shared" si="5"/>
        <v/>
      </c>
      <c r="C172" s="1" t="str">
        <f t="shared" si="4"/>
        <v/>
      </c>
    </row>
    <row r="173" spans="1:3" ht="16">
      <c r="A173" s="1" t="str">
        <f t="shared" si="5"/>
        <v/>
      </c>
      <c r="C173" s="1" t="str">
        <f t="shared" si="4"/>
        <v/>
      </c>
    </row>
    <row r="174" spans="1:3" ht="16">
      <c r="A174" s="1" t="str">
        <f t="shared" si="5"/>
        <v/>
      </c>
      <c r="C174" s="1" t="str">
        <f t="shared" si="4"/>
        <v/>
      </c>
    </row>
    <row r="175" spans="1:3" ht="16">
      <c r="A175" s="1" t="str">
        <f t="shared" si="5"/>
        <v/>
      </c>
      <c r="C175" s="1" t="str">
        <f t="shared" si="4"/>
        <v/>
      </c>
    </row>
    <row r="176" spans="1:3" ht="16">
      <c r="A176" s="1" t="str">
        <f t="shared" si="5"/>
        <v/>
      </c>
      <c r="C176" s="1" t="str">
        <f t="shared" si="4"/>
        <v/>
      </c>
    </row>
    <row r="177" spans="1:3" ht="16">
      <c r="A177" s="1" t="str">
        <f t="shared" si="5"/>
        <v/>
      </c>
      <c r="C177" s="1" t="str">
        <f t="shared" si="4"/>
        <v/>
      </c>
    </row>
    <row r="178" spans="1:3" ht="16">
      <c r="A178" s="1" t="str">
        <f t="shared" si="5"/>
        <v/>
      </c>
      <c r="C178" s="1" t="str">
        <f t="shared" si="4"/>
        <v/>
      </c>
    </row>
    <row r="179" spans="1:3" ht="16">
      <c r="A179" s="1" t="str">
        <f t="shared" si="5"/>
        <v/>
      </c>
      <c r="C179" s="1" t="str">
        <f t="shared" si="4"/>
        <v/>
      </c>
    </row>
    <row r="180" spans="1:3" ht="16">
      <c r="A180" s="1" t="str">
        <f t="shared" si="5"/>
        <v/>
      </c>
      <c r="C180" s="1" t="str">
        <f t="shared" si="4"/>
        <v/>
      </c>
    </row>
    <row r="181" spans="1:3" ht="16">
      <c r="A181" s="1" t="str">
        <f t="shared" si="5"/>
        <v/>
      </c>
      <c r="C181" s="1" t="str">
        <f t="shared" si="4"/>
        <v/>
      </c>
    </row>
    <row r="182" spans="1:3" ht="16">
      <c r="A182" s="1" t="str">
        <f t="shared" si="5"/>
        <v/>
      </c>
      <c r="C182" s="1" t="str">
        <f t="shared" si="4"/>
        <v/>
      </c>
    </row>
    <row r="183" spans="1:3" ht="16">
      <c r="A183" s="1" t="str">
        <f t="shared" si="5"/>
        <v/>
      </c>
      <c r="C183" s="1" t="str">
        <f t="shared" si="4"/>
        <v/>
      </c>
    </row>
    <row r="184" spans="1:3" ht="16">
      <c r="A184" s="1" t="str">
        <f t="shared" si="5"/>
        <v/>
      </c>
      <c r="C184" s="1" t="str">
        <f t="shared" si="4"/>
        <v/>
      </c>
    </row>
    <row r="185" spans="1:3" ht="16">
      <c r="A185" s="1" t="str">
        <f t="shared" si="5"/>
        <v/>
      </c>
      <c r="C185" s="1" t="str">
        <f t="shared" si="4"/>
        <v/>
      </c>
    </row>
    <row r="186" spans="1:3" ht="16">
      <c r="A186" s="1" t="str">
        <f t="shared" si="5"/>
        <v/>
      </c>
      <c r="C186" s="1" t="str">
        <f t="shared" si="4"/>
        <v/>
      </c>
    </row>
    <row r="187" spans="1:3" ht="16">
      <c r="A187" s="1" t="str">
        <f t="shared" si="5"/>
        <v/>
      </c>
      <c r="C187" s="1" t="str">
        <f t="shared" si="4"/>
        <v/>
      </c>
    </row>
    <row r="188" spans="1:3" ht="16">
      <c r="A188" s="1" t="str">
        <f t="shared" si="5"/>
        <v/>
      </c>
      <c r="C188" s="1" t="str">
        <f t="shared" si="4"/>
        <v/>
      </c>
    </row>
    <row r="189" spans="1:3" ht="16">
      <c r="A189" s="1" t="str">
        <f t="shared" si="5"/>
        <v/>
      </c>
      <c r="C189" s="1" t="str">
        <f t="shared" si="4"/>
        <v/>
      </c>
    </row>
    <row r="190" spans="1:3" ht="16">
      <c r="A190" s="1" t="str">
        <f t="shared" si="5"/>
        <v/>
      </c>
      <c r="C190" s="1" t="str">
        <f t="shared" si="4"/>
        <v/>
      </c>
    </row>
    <row r="191" spans="1:3" ht="16">
      <c r="A191" s="1" t="str">
        <f t="shared" si="5"/>
        <v/>
      </c>
      <c r="C191" s="1" t="str">
        <f t="shared" si="4"/>
        <v/>
      </c>
    </row>
    <row r="192" spans="1:3" ht="16">
      <c r="A192" s="1" t="str">
        <f t="shared" si="5"/>
        <v/>
      </c>
      <c r="C192" s="1" t="str">
        <f t="shared" si="4"/>
        <v/>
      </c>
    </row>
    <row r="193" spans="1:3" ht="16">
      <c r="A193" s="1" t="str">
        <f t="shared" si="5"/>
        <v/>
      </c>
      <c r="C193" s="1" t="str">
        <f t="shared" si="4"/>
        <v/>
      </c>
    </row>
    <row r="194" spans="1:3" ht="16">
      <c r="A194" s="1" t="str">
        <f t="shared" si="5"/>
        <v/>
      </c>
      <c r="C194" s="1" t="str">
        <f t="shared" ref="C194:C257" si="6">IF(LEN(IFERROR(VLOOKUP(B194,Reqs_and_Explanation,3,FALSE),""))&lt;3,"",IFERROR(VLOOKUP(B194,Reqs_and_Explanation,3,FALSE),""))</f>
        <v/>
      </c>
    </row>
    <row r="195" spans="1:3" ht="16">
      <c r="A195" s="1" t="str">
        <f t="shared" ref="A195:A258" si="7">IF(ISBLANK(B195),"","E"&amp;TEXT(ROW()-1,"000"))</f>
        <v/>
      </c>
      <c r="C195" s="1" t="str">
        <f t="shared" si="6"/>
        <v/>
      </c>
    </row>
    <row r="196" spans="1:3" ht="16">
      <c r="A196" s="1" t="str">
        <f t="shared" si="7"/>
        <v/>
      </c>
      <c r="C196" s="1" t="str">
        <f t="shared" si="6"/>
        <v/>
      </c>
    </row>
    <row r="197" spans="1:3" ht="16">
      <c r="A197" s="1" t="str">
        <f t="shared" si="7"/>
        <v/>
      </c>
      <c r="C197" s="1" t="str">
        <f t="shared" si="6"/>
        <v/>
      </c>
    </row>
    <row r="198" spans="1:3" ht="16">
      <c r="A198" s="1" t="str">
        <f t="shared" si="7"/>
        <v/>
      </c>
      <c r="C198" s="1" t="str">
        <f t="shared" si="6"/>
        <v/>
      </c>
    </row>
    <row r="199" spans="1:3" ht="16">
      <c r="A199" s="1" t="str">
        <f t="shared" si="7"/>
        <v/>
      </c>
      <c r="C199" s="1" t="str">
        <f t="shared" si="6"/>
        <v/>
      </c>
    </row>
    <row r="200" spans="1:3" ht="16">
      <c r="A200" s="1" t="str">
        <f t="shared" si="7"/>
        <v/>
      </c>
      <c r="C200" s="1" t="str">
        <f t="shared" si="6"/>
        <v/>
      </c>
    </row>
    <row r="201" spans="1:3" ht="16">
      <c r="A201" s="1" t="str">
        <f t="shared" si="7"/>
        <v/>
      </c>
      <c r="C201" s="1" t="str">
        <f t="shared" si="6"/>
        <v/>
      </c>
    </row>
    <row r="202" spans="1:3" ht="16">
      <c r="A202" s="1" t="str">
        <f t="shared" si="7"/>
        <v/>
      </c>
      <c r="C202" s="1" t="str">
        <f t="shared" si="6"/>
        <v/>
      </c>
    </row>
    <row r="203" spans="1:3" ht="16">
      <c r="A203" s="1" t="str">
        <f t="shared" si="7"/>
        <v/>
      </c>
      <c r="C203" s="1" t="str">
        <f t="shared" si="6"/>
        <v/>
      </c>
    </row>
    <row r="204" spans="1:3" ht="16">
      <c r="A204" s="1" t="str">
        <f t="shared" si="7"/>
        <v/>
      </c>
      <c r="C204" s="1" t="str">
        <f t="shared" si="6"/>
        <v/>
      </c>
    </row>
    <row r="205" spans="1:3" ht="16">
      <c r="A205" s="1" t="str">
        <f t="shared" si="7"/>
        <v/>
      </c>
      <c r="C205" s="1" t="str">
        <f t="shared" si="6"/>
        <v/>
      </c>
    </row>
    <row r="206" spans="1:3" ht="16">
      <c r="A206" s="1" t="str">
        <f t="shared" si="7"/>
        <v/>
      </c>
      <c r="C206" s="1" t="str">
        <f t="shared" si="6"/>
        <v/>
      </c>
    </row>
    <row r="207" spans="1:3" ht="16">
      <c r="A207" s="1" t="str">
        <f t="shared" si="7"/>
        <v/>
      </c>
      <c r="C207" s="1" t="str">
        <f t="shared" si="6"/>
        <v/>
      </c>
    </row>
    <row r="208" spans="1:3" ht="16">
      <c r="A208" s="1" t="str">
        <f t="shared" si="7"/>
        <v/>
      </c>
      <c r="C208" s="1" t="str">
        <f t="shared" si="6"/>
        <v/>
      </c>
    </row>
    <row r="209" spans="1:3" ht="16">
      <c r="A209" s="1" t="str">
        <f t="shared" si="7"/>
        <v/>
      </c>
      <c r="C209" s="1" t="str">
        <f t="shared" si="6"/>
        <v/>
      </c>
    </row>
    <row r="210" spans="1:3" ht="16">
      <c r="A210" s="1" t="str">
        <f t="shared" si="7"/>
        <v/>
      </c>
      <c r="C210" s="1" t="str">
        <f t="shared" si="6"/>
        <v/>
      </c>
    </row>
    <row r="211" spans="1:3" ht="16">
      <c r="A211" s="1" t="str">
        <f t="shared" si="7"/>
        <v/>
      </c>
      <c r="C211" s="1" t="str">
        <f t="shared" si="6"/>
        <v/>
      </c>
    </row>
    <row r="212" spans="1:3" ht="16">
      <c r="A212" s="1" t="str">
        <f t="shared" si="7"/>
        <v/>
      </c>
      <c r="C212" s="1" t="str">
        <f t="shared" si="6"/>
        <v/>
      </c>
    </row>
    <row r="213" spans="1:3" ht="16">
      <c r="A213" s="1" t="str">
        <f t="shared" si="7"/>
        <v/>
      </c>
      <c r="C213" s="1" t="str">
        <f t="shared" si="6"/>
        <v/>
      </c>
    </row>
    <row r="214" spans="1:3" ht="16">
      <c r="A214" s="1" t="str">
        <f t="shared" si="7"/>
        <v/>
      </c>
      <c r="C214" s="1" t="str">
        <f t="shared" si="6"/>
        <v/>
      </c>
    </row>
    <row r="215" spans="1:3" ht="16">
      <c r="A215" s="1" t="str">
        <f t="shared" si="7"/>
        <v/>
      </c>
      <c r="C215" s="1" t="str">
        <f t="shared" si="6"/>
        <v/>
      </c>
    </row>
    <row r="216" spans="1:3" ht="16">
      <c r="A216" s="1" t="str">
        <f t="shared" si="7"/>
        <v/>
      </c>
      <c r="C216" s="1" t="str">
        <f t="shared" si="6"/>
        <v/>
      </c>
    </row>
    <row r="217" spans="1:3" ht="16">
      <c r="A217" s="1" t="str">
        <f t="shared" si="7"/>
        <v/>
      </c>
      <c r="C217" s="1" t="str">
        <f t="shared" si="6"/>
        <v/>
      </c>
    </row>
    <row r="218" spans="1:3" ht="16">
      <c r="A218" s="1" t="str">
        <f t="shared" si="7"/>
        <v/>
      </c>
      <c r="C218" s="1" t="str">
        <f t="shared" si="6"/>
        <v/>
      </c>
    </row>
    <row r="219" spans="1:3" ht="16">
      <c r="A219" s="1" t="str">
        <f t="shared" si="7"/>
        <v/>
      </c>
      <c r="C219" s="1" t="str">
        <f t="shared" si="6"/>
        <v/>
      </c>
    </row>
    <row r="220" spans="1:3" ht="16">
      <c r="A220" s="1" t="str">
        <f t="shared" si="7"/>
        <v/>
      </c>
      <c r="C220" s="1" t="str">
        <f t="shared" si="6"/>
        <v/>
      </c>
    </row>
    <row r="221" spans="1:3" ht="16">
      <c r="A221" s="1" t="str">
        <f t="shared" si="7"/>
        <v/>
      </c>
      <c r="C221" s="1" t="str">
        <f t="shared" si="6"/>
        <v/>
      </c>
    </row>
    <row r="222" spans="1:3" ht="16">
      <c r="A222" s="1" t="str">
        <f t="shared" si="7"/>
        <v/>
      </c>
      <c r="C222" s="1" t="str">
        <f t="shared" si="6"/>
        <v/>
      </c>
    </row>
    <row r="223" spans="1:3" ht="16">
      <c r="A223" s="1" t="str">
        <f t="shared" si="7"/>
        <v/>
      </c>
      <c r="C223" s="1" t="str">
        <f t="shared" si="6"/>
        <v/>
      </c>
    </row>
    <row r="224" spans="1:3" ht="16">
      <c r="A224" s="1" t="str">
        <f t="shared" si="7"/>
        <v/>
      </c>
      <c r="C224" s="1" t="str">
        <f t="shared" si="6"/>
        <v/>
      </c>
    </row>
    <row r="225" spans="1:3" ht="16">
      <c r="A225" s="1" t="str">
        <f t="shared" si="7"/>
        <v/>
      </c>
      <c r="C225" s="1" t="str">
        <f t="shared" si="6"/>
        <v/>
      </c>
    </row>
    <row r="226" spans="1:3" ht="16">
      <c r="A226" s="1" t="str">
        <f t="shared" si="7"/>
        <v/>
      </c>
      <c r="C226" s="1" t="str">
        <f t="shared" si="6"/>
        <v/>
      </c>
    </row>
    <row r="227" spans="1:3" ht="16">
      <c r="A227" s="1" t="str">
        <f t="shared" si="7"/>
        <v/>
      </c>
      <c r="C227" s="1" t="str">
        <f t="shared" si="6"/>
        <v/>
      </c>
    </row>
    <row r="228" spans="1:3" ht="16">
      <c r="A228" s="1" t="str">
        <f t="shared" si="7"/>
        <v/>
      </c>
      <c r="C228" s="1" t="str">
        <f t="shared" si="6"/>
        <v/>
      </c>
    </row>
    <row r="229" spans="1:3" ht="16">
      <c r="A229" s="1" t="str">
        <f t="shared" si="7"/>
        <v/>
      </c>
      <c r="C229" s="1" t="str">
        <f t="shared" si="6"/>
        <v/>
      </c>
    </row>
    <row r="230" spans="1:3" ht="16">
      <c r="A230" s="1" t="str">
        <f t="shared" si="7"/>
        <v/>
      </c>
      <c r="C230" s="1" t="str">
        <f t="shared" si="6"/>
        <v/>
      </c>
    </row>
    <row r="231" spans="1:3" ht="16">
      <c r="A231" s="1" t="str">
        <f t="shared" si="7"/>
        <v/>
      </c>
      <c r="C231" s="1" t="str">
        <f t="shared" si="6"/>
        <v/>
      </c>
    </row>
    <row r="232" spans="1:3" ht="16">
      <c r="A232" s="1" t="str">
        <f t="shared" si="7"/>
        <v/>
      </c>
      <c r="C232" s="1" t="str">
        <f t="shared" si="6"/>
        <v/>
      </c>
    </row>
    <row r="233" spans="1:3" ht="16">
      <c r="A233" s="1" t="str">
        <f t="shared" si="7"/>
        <v/>
      </c>
      <c r="C233" s="1" t="str">
        <f t="shared" si="6"/>
        <v/>
      </c>
    </row>
    <row r="234" spans="1:3" ht="16">
      <c r="A234" s="1" t="str">
        <f t="shared" si="7"/>
        <v/>
      </c>
      <c r="C234" s="1" t="str">
        <f t="shared" si="6"/>
        <v/>
      </c>
    </row>
    <row r="235" spans="1:3" ht="16">
      <c r="A235" s="1" t="str">
        <f t="shared" si="7"/>
        <v/>
      </c>
      <c r="C235" s="1" t="str">
        <f t="shared" si="6"/>
        <v/>
      </c>
    </row>
    <row r="236" spans="1:3" ht="16">
      <c r="A236" s="1" t="str">
        <f t="shared" si="7"/>
        <v/>
      </c>
      <c r="C236" s="1" t="str">
        <f t="shared" si="6"/>
        <v/>
      </c>
    </row>
    <row r="237" spans="1:3" ht="16">
      <c r="A237" s="1" t="str">
        <f t="shared" si="7"/>
        <v/>
      </c>
      <c r="C237" s="1" t="str">
        <f t="shared" si="6"/>
        <v/>
      </c>
    </row>
    <row r="238" spans="1:3" ht="16">
      <c r="A238" s="1" t="str">
        <f t="shared" si="7"/>
        <v/>
      </c>
      <c r="C238" s="1" t="str">
        <f t="shared" si="6"/>
        <v/>
      </c>
    </row>
    <row r="239" spans="1:3" ht="16">
      <c r="A239" s="1" t="str">
        <f t="shared" si="7"/>
        <v/>
      </c>
      <c r="C239" s="1" t="str">
        <f t="shared" si="6"/>
        <v/>
      </c>
    </row>
    <row r="240" spans="1:3" ht="16">
      <c r="A240" s="1" t="str">
        <f t="shared" si="7"/>
        <v/>
      </c>
      <c r="C240" s="1" t="str">
        <f t="shared" si="6"/>
        <v/>
      </c>
    </row>
    <row r="241" spans="1:3" ht="16">
      <c r="A241" s="1" t="str">
        <f t="shared" si="7"/>
        <v/>
      </c>
      <c r="C241" s="1" t="str">
        <f t="shared" si="6"/>
        <v/>
      </c>
    </row>
    <row r="242" spans="1:3" ht="16">
      <c r="A242" s="1" t="str">
        <f t="shared" si="7"/>
        <v/>
      </c>
      <c r="C242" s="1" t="str">
        <f t="shared" si="6"/>
        <v/>
      </c>
    </row>
    <row r="243" spans="1:3" ht="16">
      <c r="A243" s="1" t="str">
        <f t="shared" si="7"/>
        <v/>
      </c>
      <c r="C243" s="1" t="str">
        <f t="shared" si="6"/>
        <v/>
      </c>
    </row>
    <row r="244" spans="1:3" ht="16">
      <c r="A244" s="1" t="str">
        <f t="shared" si="7"/>
        <v/>
      </c>
      <c r="C244" s="1" t="str">
        <f t="shared" si="6"/>
        <v/>
      </c>
    </row>
    <row r="245" spans="1:3" ht="16">
      <c r="A245" s="1" t="str">
        <f t="shared" si="7"/>
        <v/>
      </c>
      <c r="C245" s="1" t="str">
        <f t="shared" si="6"/>
        <v/>
      </c>
    </row>
    <row r="246" spans="1:3" ht="16">
      <c r="A246" s="1" t="str">
        <f t="shared" si="7"/>
        <v/>
      </c>
      <c r="C246" s="1" t="str">
        <f t="shared" si="6"/>
        <v/>
      </c>
    </row>
    <row r="247" spans="1:3" ht="16">
      <c r="A247" s="1" t="str">
        <f t="shared" si="7"/>
        <v/>
      </c>
      <c r="C247" s="1" t="str">
        <f t="shared" si="6"/>
        <v/>
      </c>
    </row>
    <row r="248" spans="1:3" ht="16">
      <c r="A248" s="1" t="str">
        <f t="shared" si="7"/>
        <v/>
      </c>
      <c r="C248" s="1" t="str">
        <f t="shared" si="6"/>
        <v/>
      </c>
    </row>
    <row r="249" spans="1:3" ht="16">
      <c r="A249" s="1" t="str">
        <f t="shared" si="7"/>
        <v/>
      </c>
      <c r="C249" s="1" t="str">
        <f t="shared" si="6"/>
        <v/>
      </c>
    </row>
    <row r="250" spans="1:3" ht="16">
      <c r="A250" s="1" t="str">
        <f t="shared" si="7"/>
        <v/>
      </c>
      <c r="C250" s="1" t="str">
        <f t="shared" si="6"/>
        <v/>
      </c>
    </row>
    <row r="251" spans="1:3" ht="16">
      <c r="A251" s="1" t="str">
        <f t="shared" si="7"/>
        <v/>
      </c>
      <c r="C251" s="1" t="str">
        <f t="shared" si="6"/>
        <v/>
      </c>
    </row>
    <row r="252" spans="1:3" ht="16">
      <c r="A252" s="1" t="str">
        <f t="shared" si="7"/>
        <v/>
      </c>
      <c r="C252" s="1" t="str">
        <f t="shared" si="6"/>
        <v/>
      </c>
    </row>
    <row r="253" spans="1:3" ht="16">
      <c r="A253" s="1" t="str">
        <f t="shared" si="7"/>
        <v/>
      </c>
      <c r="C253" s="1" t="str">
        <f t="shared" si="6"/>
        <v/>
      </c>
    </row>
    <row r="254" spans="1:3" ht="16">
      <c r="A254" s="1" t="str">
        <f t="shared" si="7"/>
        <v/>
      </c>
      <c r="C254" s="1" t="str">
        <f t="shared" si="6"/>
        <v/>
      </c>
    </row>
    <row r="255" spans="1:3" ht="16">
      <c r="A255" s="1" t="str">
        <f t="shared" si="7"/>
        <v/>
      </c>
      <c r="C255" s="1" t="str">
        <f t="shared" si="6"/>
        <v/>
      </c>
    </row>
    <row r="256" spans="1:3" ht="16">
      <c r="A256" s="1" t="str">
        <f t="shared" si="7"/>
        <v/>
      </c>
      <c r="C256" s="1" t="str">
        <f t="shared" si="6"/>
        <v/>
      </c>
    </row>
    <row r="257" spans="1:3" ht="16">
      <c r="A257" s="1" t="str">
        <f t="shared" si="7"/>
        <v/>
      </c>
      <c r="C257" s="1" t="str">
        <f t="shared" si="6"/>
        <v/>
      </c>
    </row>
    <row r="258" spans="1:3" ht="16">
      <c r="A258" s="1" t="str">
        <f t="shared" si="7"/>
        <v/>
      </c>
      <c r="C258" s="1" t="str">
        <f t="shared" ref="C258:C281" si="8">IF(LEN(IFERROR(VLOOKUP(B258,Reqs_and_Explanation,3,FALSE),""))&lt;3,"",IFERROR(VLOOKUP(B258,Reqs_and_Explanation,3,FALSE),""))</f>
        <v/>
      </c>
    </row>
    <row r="259" spans="1:3" ht="16">
      <c r="A259" s="1" t="str">
        <f t="shared" ref="A259:A322" si="9">IF(ISBLANK(B259),"","E"&amp;TEXT(ROW()-1,"000"))</f>
        <v/>
      </c>
      <c r="C259" s="1" t="str">
        <f t="shared" si="8"/>
        <v/>
      </c>
    </row>
    <row r="260" spans="1:3" ht="16">
      <c r="A260" s="1" t="str">
        <f t="shared" si="9"/>
        <v/>
      </c>
      <c r="C260" s="1" t="str">
        <f t="shared" si="8"/>
        <v/>
      </c>
    </row>
    <row r="261" spans="1:3" ht="16">
      <c r="A261" s="1" t="str">
        <f t="shared" si="9"/>
        <v/>
      </c>
      <c r="C261" s="1" t="str">
        <f t="shared" si="8"/>
        <v/>
      </c>
    </row>
    <row r="262" spans="1:3" ht="16">
      <c r="A262" s="1" t="str">
        <f t="shared" si="9"/>
        <v/>
      </c>
      <c r="C262" s="1" t="str">
        <f t="shared" si="8"/>
        <v/>
      </c>
    </row>
    <row r="263" spans="1:3" ht="16">
      <c r="A263" s="1" t="str">
        <f t="shared" si="9"/>
        <v/>
      </c>
      <c r="C263" s="1" t="str">
        <f t="shared" si="8"/>
        <v/>
      </c>
    </row>
    <row r="264" spans="1:3" ht="16">
      <c r="A264" s="1" t="str">
        <f t="shared" si="9"/>
        <v/>
      </c>
      <c r="C264" s="1" t="str">
        <f t="shared" si="8"/>
        <v/>
      </c>
    </row>
    <row r="265" spans="1:3" ht="16">
      <c r="A265" s="1" t="str">
        <f t="shared" si="9"/>
        <v/>
      </c>
      <c r="C265" s="1" t="str">
        <f t="shared" si="8"/>
        <v/>
      </c>
    </row>
    <row r="266" spans="1:3" ht="16">
      <c r="A266" s="1" t="str">
        <f t="shared" si="9"/>
        <v/>
      </c>
      <c r="C266" s="1" t="str">
        <f t="shared" si="8"/>
        <v/>
      </c>
    </row>
    <row r="267" spans="1:3" ht="16">
      <c r="A267" s="1" t="str">
        <f t="shared" si="9"/>
        <v/>
      </c>
      <c r="C267" s="1" t="str">
        <f t="shared" si="8"/>
        <v/>
      </c>
    </row>
    <row r="268" spans="1:3" ht="16">
      <c r="A268" s="1" t="str">
        <f t="shared" si="9"/>
        <v/>
      </c>
      <c r="C268" s="1" t="str">
        <f t="shared" si="8"/>
        <v/>
      </c>
    </row>
    <row r="269" spans="1:3" ht="16">
      <c r="A269" s="1" t="str">
        <f t="shared" si="9"/>
        <v/>
      </c>
      <c r="C269" s="1" t="str">
        <f t="shared" si="8"/>
        <v/>
      </c>
    </row>
    <row r="270" spans="1:3" ht="16">
      <c r="A270" s="1" t="str">
        <f t="shared" si="9"/>
        <v/>
      </c>
      <c r="C270" s="1" t="str">
        <f t="shared" si="8"/>
        <v/>
      </c>
    </row>
    <row r="271" spans="1:3" ht="16">
      <c r="A271" s="1" t="str">
        <f t="shared" si="9"/>
        <v/>
      </c>
      <c r="C271" s="1" t="str">
        <f t="shared" si="8"/>
        <v/>
      </c>
    </row>
    <row r="272" spans="1:3" ht="16">
      <c r="A272" s="1" t="str">
        <f t="shared" si="9"/>
        <v/>
      </c>
      <c r="C272" s="1" t="str">
        <f t="shared" si="8"/>
        <v/>
      </c>
    </row>
    <row r="273" spans="1:3" ht="16">
      <c r="A273" s="1" t="str">
        <f t="shared" si="9"/>
        <v/>
      </c>
      <c r="C273" s="1" t="str">
        <f t="shared" si="8"/>
        <v/>
      </c>
    </row>
    <row r="274" spans="1:3" ht="16">
      <c r="A274" s="1" t="str">
        <f t="shared" si="9"/>
        <v/>
      </c>
      <c r="C274" s="1" t="str">
        <f t="shared" si="8"/>
        <v/>
      </c>
    </row>
    <row r="275" spans="1:3" ht="16">
      <c r="A275" s="1" t="str">
        <f t="shared" si="9"/>
        <v/>
      </c>
      <c r="C275" s="1" t="str">
        <f t="shared" si="8"/>
        <v/>
      </c>
    </row>
    <row r="276" spans="1:3" ht="16">
      <c r="A276" s="1" t="str">
        <f t="shared" si="9"/>
        <v/>
      </c>
      <c r="C276" s="1" t="str">
        <f t="shared" si="8"/>
        <v/>
      </c>
    </row>
    <row r="277" spans="1:3" ht="16">
      <c r="A277" s="1" t="str">
        <f t="shared" si="9"/>
        <v/>
      </c>
      <c r="C277" s="1" t="str">
        <f t="shared" si="8"/>
        <v/>
      </c>
    </row>
    <row r="278" spans="1:3" ht="16">
      <c r="A278" s="1" t="str">
        <f t="shared" si="9"/>
        <v/>
      </c>
      <c r="C278" s="1" t="str">
        <f t="shared" si="8"/>
        <v/>
      </c>
    </row>
    <row r="279" spans="1:3" ht="16">
      <c r="A279" s="1" t="str">
        <f t="shared" si="9"/>
        <v/>
      </c>
      <c r="C279" s="1" t="str">
        <f t="shared" si="8"/>
        <v/>
      </c>
    </row>
    <row r="280" spans="1:3" ht="16">
      <c r="A280" s="1" t="str">
        <f t="shared" si="9"/>
        <v/>
      </c>
      <c r="C280" s="1" t="str">
        <f t="shared" si="8"/>
        <v/>
      </c>
    </row>
    <row r="281" spans="1:3" ht="16">
      <c r="A281" s="1" t="str">
        <f t="shared" si="9"/>
        <v/>
      </c>
      <c r="C281" s="1" t="str">
        <f t="shared" si="8"/>
        <v/>
      </c>
    </row>
    <row r="282" spans="1:3" ht="16">
      <c r="A282" s="1" t="str">
        <f t="shared" si="9"/>
        <v/>
      </c>
    </row>
    <row r="283" spans="1:3" ht="16">
      <c r="A283" s="1" t="str">
        <f t="shared" si="9"/>
        <v/>
      </c>
    </row>
    <row r="284" spans="1:3" ht="16">
      <c r="A284" s="1" t="str">
        <f t="shared" si="9"/>
        <v/>
      </c>
    </row>
    <row r="285" spans="1:3" ht="16">
      <c r="A285" s="1" t="str">
        <f t="shared" si="9"/>
        <v/>
      </c>
    </row>
    <row r="286" spans="1:3" ht="16">
      <c r="A286" s="1" t="str">
        <f t="shared" si="9"/>
        <v/>
      </c>
    </row>
    <row r="287" spans="1:3" ht="16">
      <c r="A287" s="1" t="str">
        <f t="shared" si="9"/>
        <v/>
      </c>
    </row>
    <row r="288" spans="1:3" ht="16">
      <c r="A288" s="1" t="str">
        <f t="shared" si="9"/>
        <v/>
      </c>
    </row>
    <row r="289" spans="1:1" ht="16">
      <c r="A289" s="1" t="str">
        <f t="shared" si="9"/>
        <v/>
      </c>
    </row>
    <row r="290" spans="1:1" ht="16">
      <c r="A290" s="1" t="str">
        <f t="shared" si="9"/>
        <v/>
      </c>
    </row>
    <row r="291" spans="1:1" ht="16">
      <c r="A291" s="1" t="str">
        <f t="shared" si="9"/>
        <v/>
      </c>
    </row>
    <row r="292" spans="1:1" ht="16">
      <c r="A292" s="1" t="str">
        <f t="shared" si="9"/>
        <v/>
      </c>
    </row>
    <row r="293" spans="1:1" ht="16">
      <c r="A293" s="1" t="str">
        <f t="shared" si="9"/>
        <v/>
      </c>
    </row>
    <row r="294" spans="1:1" ht="16">
      <c r="A294" s="1" t="str">
        <f t="shared" si="9"/>
        <v/>
      </c>
    </row>
    <row r="295" spans="1:1" ht="16">
      <c r="A295" s="1" t="str">
        <f t="shared" si="9"/>
        <v/>
      </c>
    </row>
    <row r="296" spans="1:1" ht="16">
      <c r="A296" s="1" t="str">
        <f t="shared" si="9"/>
        <v/>
      </c>
    </row>
    <row r="297" spans="1:1" ht="16">
      <c r="A297" s="1" t="str">
        <f t="shared" si="9"/>
        <v/>
      </c>
    </row>
    <row r="298" spans="1:1" ht="16">
      <c r="A298" s="1" t="str">
        <f t="shared" si="9"/>
        <v/>
      </c>
    </row>
    <row r="299" spans="1:1" ht="16">
      <c r="A299" s="1" t="str">
        <f t="shared" si="9"/>
        <v/>
      </c>
    </row>
    <row r="300" spans="1:1" ht="16">
      <c r="A300" s="1" t="str">
        <f t="shared" si="9"/>
        <v/>
      </c>
    </row>
    <row r="301" spans="1:1" ht="16">
      <c r="A301" s="1" t="str">
        <f t="shared" si="9"/>
        <v/>
      </c>
    </row>
    <row r="302" spans="1:1" ht="16">
      <c r="A302" s="1" t="str">
        <f t="shared" si="9"/>
        <v/>
      </c>
    </row>
    <row r="303" spans="1:1" ht="16">
      <c r="A303" s="1" t="str">
        <f t="shared" si="9"/>
        <v/>
      </c>
    </row>
    <row r="304" spans="1:1" ht="16">
      <c r="A304" s="1" t="str">
        <f t="shared" si="9"/>
        <v/>
      </c>
    </row>
    <row r="305" spans="1:1" ht="16">
      <c r="A305" s="1" t="str">
        <f t="shared" si="9"/>
        <v/>
      </c>
    </row>
    <row r="306" spans="1:1" ht="16">
      <c r="A306" s="1" t="str">
        <f t="shared" si="9"/>
        <v/>
      </c>
    </row>
    <row r="307" spans="1:1" ht="16">
      <c r="A307" s="1" t="str">
        <f t="shared" si="9"/>
        <v/>
      </c>
    </row>
    <row r="308" spans="1:1" ht="16">
      <c r="A308" s="1" t="str">
        <f t="shared" si="9"/>
        <v/>
      </c>
    </row>
    <row r="309" spans="1:1" ht="16">
      <c r="A309" s="1" t="str">
        <f t="shared" si="9"/>
        <v/>
      </c>
    </row>
    <row r="310" spans="1:1" ht="16">
      <c r="A310" s="1" t="str">
        <f t="shared" si="9"/>
        <v/>
      </c>
    </row>
    <row r="311" spans="1:1" ht="16">
      <c r="A311" s="1" t="str">
        <f t="shared" si="9"/>
        <v/>
      </c>
    </row>
    <row r="312" spans="1:1" ht="16">
      <c r="A312" s="1" t="str">
        <f t="shared" si="9"/>
        <v/>
      </c>
    </row>
    <row r="313" spans="1:1" ht="16">
      <c r="A313" s="1" t="str">
        <f t="shared" si="9"/>
        <v/>
      </c>
    </row>
    <row r="314" spans="1:1" ht="16">
      <c r="A314" s="1" t="str">
        <f t="shared" si="9"/>
        <v/>
      </c>
    </row>
    <row r="315" spans="1:1" ht="16">
      <c r="A315" s="1" t="str">
        <f t="shared" si="9"/>
        <v/>
      </c>
    </row>
    <row r="316" spans="1:1" ht="16">
      <c r="A316" s="1" t="str">
        <f t="shared" si="9"/>
        <v/>
      </c>
    </row>
    <row r="317" spans="1:1" ht="16">
      <c r="A317" s="1" t="str">
        <f t="shared" si="9"/>
        <v/>
      </c>
    </row>
    <row r="318" spans="1:1" ht="16">
      <c r="A318" s="1" t="str">
        <f t="shared" si="9"/>
        <v/>
      </c>
    </row>
    <row r="319" spans="1:1" ht="16">
      <c r="A319" s="1" t="str">
        <f t="shared" si="9"/>
        <v/>
      </c>
    </row>
    <row r="320" spans="1:1" ht="16">
      <c r="A320" s="1" t="str">
        <f t="shared" si="9"/>
        <v/>
      </c>
    </row>
    <row r="321" spans="1:1" ht="16">
      <c r="A321" s="1" t="str">
        <f t="shared" si="9"/>
        <v/>
      </c>
    </row>
    <row r="322" spans="1:1" ht="16">
      <c r="A322" s="1" t="str">
        <f t="shared" si="9"/>
        <v/>
      </c>
    </row>
    <row r="323" spans="1:1" ht="16">
      <c r="A323" s="1" t="str">
        <f t="shared" ref="A323:A338" si="10">IF(ISBLANK(B323),"","E"&amp;TEXT(ROW()-1,"000"))</f>
        <v/>
      </c>
    </row>
    <row r="324" spans="1:1" ht="16">
      <c r="A324" s="1" t="str">
        <f t="shared" si="10"/>
        <v/>
      </c>
    </row>
    <row r="325" spans="1:1" ht="16">
      <c r="A325" s="1" t="str">
        <f t="shared" si="10"/>
        <v/>
      </c>
    </row>
    <row r="326" spans="1:1" ht="16">
      <c r="A326" s="1" t="str">
        <f t="shared" si="10"/>
        <v/>
      </c>
    </row>
    <row r="327" spans="1:1" ht="16">
      <c r="A327" s="1" t="str">
        <f t="shared" si="10"/>
        <v/>
      </c>
    </row>
    <row r="328" spans="1:1" ht="16">
      <c r="A328" s="1" t="str">
        <f t="shared" si="10"/>
        <v/>
      </c>
    </row>
    <row r="329" spans="1:1" ht="16">
      <c r="A329" s="1" t="str">
        <f t="shared" si="10"/>
        <v/>
      </c>
    </row>
    <row r="330" spans="1:1" ht="16">
      <c r="A330" s="1" t="str">
        <f t="shared" si="10"/>
        <v/>
      </c>
    </row>
    <row r="331" spans="1:1" ht="16">
      <c r="A331" s="1" t="str">
        <f t="shared" si="10"/>
        <v/>
      </c>
    </row>
    <row r="332" spans="1:1" ht="16">
      <c r="A332" s="1" t="str">
        <f t="shared" si="10"/>
        <v/>
      </c>
    </row>
    <row r="333" spans="1:1" ht="16">
      <c r="A333" s="1" t="str">
        <f t="shared" si="10"/>
        <v/>
      </c>
    </row>
    <row r="334" spans="1:1" ht="16">
      <c r="A334" s="1" t="str">
        <f t="shared" si="10"/>
        <v/>
      </c>
    </row>
    <row r="335" spans="1:1" ht="16">
      <c r="A335" s="1" t="str">
        <f t="shared" si="10"/>
        <v/>
      </c>
    </row>
    <row r="336" spans="1:1" ht="16">
      <c r="A336" s="1" t="str">
        <f t="shared" si="10"/>
        <v/>
      </c>
    </row>
    <row r="337" spans="1:1" ht="16">
      <c r="A337" s="1" t="str">
        <f t="shared" si="10"/>
        <v/>
      </c>
    </row>
    <row r="338" spans="1:1" ht="16">
      <c r="A338" s="1" t="str">
        <f t="shared" si="10"/>
        <v/>
      </c>
    </row>
  </sheetData>
  <dataValidations count="4">
    <dataValidation type="list" allowBlank="1" showInputMessage="1" showErrorMessage="1" sqref="B2:B200" xr:uid="{00000000-0002-0000-0300-000000000000}">
      <formula1>Req_IDs</formula1>
    </dataValidation>
    <dataValidation type="list" allowBlank="1" showInputMessage="1" showErrorMessage="1" sqref="D2:D200" xr:uid="{00000000-0002-0000-0300-000001000000}">
      <formula1>Domains</formula1>
    </dataValidation>
    <dataValidation type="list" allowBlank="1" showInputMessage="1" showErrorMessage="1" sqref="E2:E200" xr:uid="{00000000-0002-0000-0300-000002000000}">
      <formula1>CompTypes</formula1>
    </dataValidation>
    <dataValidation type="list" allowBlank="1" showInputMessage="1" showErrorMessage="1" sqref="F2:F200" xr:uid="{00000000-0002-0000-0300-000003000000}">
      <formula1>Dimensions</formula1>
    </dataValidation>
  </dataValidations>
  <pageMargins left="0.7" right="0.7" top="0.78740157499999996" bottom="0.78740157499999996"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8"/>
  <dimension ref="A1:H14"/>
  <sheetViews>
    <sheetView workbookViewId="0">
      <selection activeCell="A2" sqref="A2"/>
    </sheetView>
  </sheetViews>
  <sheetFormatPr baseColWidth="10" defaultColWidth="11.5" defaultRowHeight="15"/>
  <cols>
    <col min="1" max="1" width="30.83203125" style="1" customWidth="1"/>
    <col min="2" max="2" width="12.83203125" style="10" customWidth="1"/>
    <col min="3" max="3" width="10.33203125" style="10" customWidth="1"/>
    <col min="4" max="7" width="18.1640625" style="10" customWidth="1"/>
    <col min="8" max="16384" width="11.5" style="1"/>
  </cols>
  <sheetData>
    <row r="1" spans="1:8" ht="16">
      <c r="A1" s="43"/>
      <c r="B1" s="44"/>
      <c r="C1" s="44"/>
      <c r="D1" s="45" t="s">
        <v>199</v>
      </c>
      <c r="E1" s="45" t="s">
        <v>200</v>
      </c>
      <c r="F1" s="45" t="s">
        <v>201</v>
      </c>
      <c r="G1" s="45" t="s">
        <v>202</v>
      </c>
    </row>
    <row r="2" spans="1:8" ht="16">
      <c r="A2" s="46" t="s">
        <v>9</v>
      </c>
      <c r="B2" s="47" t="s">
        <v>197</v>
      </c>
      <c r="C2" s="47" t="s">
        <v>215</v>
      </c>
      <c r="D2" s="47" t="str">
        <f t="array" ref="D2:G2">TRANSPOSE(_Domains!A2:A5)</f>
        <v>Registration</v>
      </c>
      <c r="E2" s="47" t="str">
        <v>Zone Alert System</v>
      </c>
      <c r="F2" s="47" t="str">
        <v>Broadcast System</v>
      </c>
      <c r="G2" s="47" t="str">
        <v>Alert Button</v>
      </c>
      <c r="H2" s="30"/>
    </row>
    <row r="3" spans="1:8" ht="16">
      <c r="A3" s="1" t="str">
        <f>Stakeholders!A3</f>
        <v>Person Suffering From Dementia</v>
      </c>
      <c r="B3" s="10">
        <f>COUNTIF('Goals &amp; Risks'!$E$2:$E$200,A3)</f>
        <v>10</v>
      </c>
      <c r="C3" s="10">
        <f>SUM(D3:G3)</f>
        <v>4</v>
      </c>
      <c r="D3" s="42">
        <v>1</v>
      </c>
      <c r="E3" s="42">
        <v>1</v>
      </c>
      <c r="F3" s="42">
        <v>1</v>
      </c>
      <c r="G3" s="42">
        <v>1</v>
      </c>
    </row>
    <row r="4" spans="1:8" ht="16">
      <c r="A4" s="1" t="str">
        <f>Stakeholders!A4</f>
        <v>Contact Person</v>
      </c>
      <c r="B4" s="10">
        <f>COUNTIF('Goals &amp; Risks'!$E$2:$E$200,A4)</f>
        <v>10</v>
      </c>
      <c r="C4" s="10">
        <f t="shared" ref="C4:C13" si="0">SUM(D4:G4)</f>
        <v>2</v>
      </c>
      <c r="D4" s="42"/>
      <c r="E4" s="42">
        <v>1</v>
      </c>
      <c r="F4" s="42">
        <v>1</v>
      </c>
      <c r="G4" s="42"/>
    </row>
    <row r="5" spans="1:8" ht="16">
      <c r="A5" s="1" t="str">
        <f>Stakeholders!A5</f>
        <v>Alert Button User</v>
      </c>
      <c r="B5" s="10">
        <f>COUNTIF('Goals &amp; Risks'!$E$2:$E$200,A5)</f>
        <v>5</v>
      </c>
      <c r="C5" s="10">
        <f t="shared" si="0"/>
        <v>1</v>
      </c>
      <c r="D5" s="42"/>
      <c r="E5" s="42"/>
      <c r="F5" s="42"/>
      <c r="G5" s="42">
        <v>1</v>
      </c>
    </row>
    <row r="6" spans="1:8" ht="16">
      <c r="A6" s="1" t="str">
        <f>Stakeholders!A6</f>
        <v>Location with Alert Button</v>
      </c>
      <c r="B6" s="10">
        <f>COUNTIF('Goals &amp; Risks'!$E$2:$E$200,A6)</f>
        <v>8</v>
      </c>
      <c r="C6" s="10">
        <f t="shared" si="0"/>
        <v>1</v>
      </c>
      <c r="D6" s="42"/>
      <c r="E6" s="42"/>
      <c r="F6" s="42"/>
      <c r="G6" s="42">
        <v>1</v>
      </c>
    </row>
    <row r="7" spans="1:8" ht="16">
      <c r="A7" s="1" t="str">
        <f>Stakeholders!A7</f>
        <v>Caregiver</v>
      </c>
      <c r="B7" s="10">
        <f>COUNTIF('Goals &amp; Risks'!$E$2:$E$200,A7)</f>
        <v>2</v>
      </c>
      <c r="C7" s="10">
        <f t="shared" si="0"/>
        <v>1</v>
      </c>
      <c r="D7" s="42">
        <v>1</v>
      </c>
      <c r="E7" s="42"/>
      <c r="F7" s="42"/>
      <c r="G7" s="42"/>
    </row>
    <row r="8" spans="1:8" ht="16">
      <c r="A8" s="1" t="str">
        <f>Stakeholders!A8</f>
        <v>Nursing  Home Management</v>
      </c>
      <c r="B8" s="10">
        <f>COUNTIF('Goals &amp; Risks'!$E$2:$E$200,A8)</f>
        <v>6</v>
      </c>
      <c r="C8" s="10">
        <f t="shared" si="0"/>
        <v>1</v>
      </c>
      <c r="D8" s="42">
        <v>1</v>
      </c>
      <c r="E8" s="42"/>
      <c r="F8" s="42"/>
      <c r="G8" s="42"/>
    </row>
    <row r="9" spans="1:8" ht="16">
      <c r="A9" s="1" t="str">
        <f>Stakeholders!A9</f>
        <v>Nursing Home</v>
      </c>
      <c r="B9" s="10">
        <f>COUNTIF('Goals &amp; Risks'!$E$2:$E$200,A9)</f>
        <v>2</v>
      </c>
      <c r="C9" s="10">
        <f t="shared" si="0"/>
        <v>1</v>
      </c>
      <c r="D9" s="42">
        <v>1</v>
      </c>
      <c r="E9" s="42"/>
      <c r="F9" s="42"/>
      <c r="G9" s="42"/>
    </row>
    <row r="10" spans="1:8" ht="16">
      <c r="A10" s="1" t="str">
        <f>Stakeholders!A10</f>
        <v>Health Insurance</v>
      </c>
      <c r="B10" s="10">
        <f>COUNTIF('Goals &amp; Risks'!$E$2:$E$200,A10)</f>
        <v>6</v>
      </c>
      <c r="C10" s="10">
        <f t="shared" si="0"/>
        <v>1</v>
      </c>
      <c r="D10" s="42">
        <v>1</v>
      </c>
      <c r="E10" s="42"/>
      <c r="F10" s="42"/>
      <c r="G10" s="42"/>
    </row>
    <row r="11" spans="1:8" ht="16">
      <c r="A11" s="1" t="str">
        <f>Stakeholders!A11</f>
        <v>ILA Startup</v>
      </c>
      <c r="B11" s="10">
        <f>COUNTIF('Goals &amp; Risks'!$E$2:$E$200,A11)</f>
        <v>5</v>
      </c>
      <c r="C11" s="10">
        <f t="shared" si="0"/>
        <v>1</v>
      </c>
      <c r="E11" s="10">
        <v>1</v>
      </c>
    </row>
    <row r="12" spans="1:8" ht="16">
      <c r="A12" s="1" t="str">
        <f>Stakeholders!A12</f>
        <v>Emergency Call System Operator</v>
      </c>
      <c r="B12" s="10">
        <f>COUNTIF('Goals &amp; Risks'!$E$2:$E$200,A12)</f>
        <v>6</v>
      </c>
      <c r="C12" s="10">
        <f t="shared" si="0"/>
        <v>1</v>
      </c>
      <c r="F12" s="10">
        <v>1</v>
      </c>
    </row>
    <row r="13" spans="1:8" ht="17" thickBot="1">
      <c r="A13" s="48" t="str">
        <f>Stakeholders!A13</f>
        <v>Society</v>
      </c>
      <c r="B13" s="49">
        <f>COUNTIF('Goals &amp; Risks'!$E$2:$E$200,A13)</f>
        <v>3</v>
      </c>
      <c r="C13" s="49">
        <f t="shared" si="0"/>
        <v>4</v>
      </c>
      <c r="D13" s="49">
        <v>1</v>
      </c>
      <c r="E13" s="49">
        <v>1</v>
      </c>
      <c r="F13" s="49">
        <v>1</v>
      </c>
      <c r="G13" s="49">
        <v>1</v>
      </c>
    </row>
    <row r="14" spans="1:8" ht="17" thickTop="1">
      <c r="A14" s="41" t="s">
        <v>198</v>
      </c>
      <c r="B14" s="31">
        <f>SUM(B3:B13)</f>
        <v>63</v>
      </c>
      <c r="C14" s="31"/>
      <c r="D14" s="31">
        <f>SUMPRODUCT(D3:D13,$B3:$B13)</f>
        <v>29</v>
      </c>
      <c r="E14" s="31">
        <f t="shared" ref="E14:G14" si="1">SUMPRODUCT(E3:E13,$B3:$B13)</f>
        <v>28</v>
      </c>
      <c r="F14" s="31">
        <f t="shared" si="1"/>
        <v>29</v>
      </c>
      <c r="G14" s="31">
        <f t="shared" si="1"/>
        <v>26</v>
      </c>
    </row>
  </sheetData>
  <autoFilter ref="A2:G13" xr:uid="{00000000-0009-0000-0000-000004000000}"/>
  <conditionalFormatting sqref="C3:C13">
    <cfRule type="cellIs" dxfId="0" priority="1" operator="greaterThan">
      <formula>0</formula>
    </cfRule>
  </conditionalFormatting>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6"/>
  <dimension ref="A1:E16"/>
  <sheetViews>
    <sheetView zoomScaleNormal="100" workbookViewId="0">
      <selection activeCell="F6" sqref="F6"/>
    </sheetView>
  </sheetViews>
  <sheetFormatPr baseColWidth="10" defaultRowHeight="15"/>
  <cols>
    <col min="2" max="2" width="11.83203125" customWidth="1"/>
    <col min="4" max="4" width="100.33203125" customWidth="1"/>
  </cols>
  <sheetData>
    <row r="1" spans="1:5" ht="17" thickBot="1">
      <c r="A1" s="50" t="s">
        <v>187</v>
      </c>
      <c r="B1" s="50" t="s">
        <v>47</v>
      </c>
      <c r="C1" s="50" t="s">
        <v>10</v>
      </c>
      <c r="D1" s="50" t="s">
        <v>127</v>
      </c>
      <c r="E1" s="4"/>
    </row>
    <row r="2" spans="1:5" ht="30" customHeight="1" thickTop="1">
      <c r="A2" s="73" t="s">
        <v>223</v>
      </c>
      <c r="B2" s="55" t="s">
        <v>2</v>
      </c>
      <c r="C2" s="3" t="s">
        <v>50</v>
      </c>
      <c r="D2" s="11" t="s">
        <v>121</v>
      </c>
      <c r="E2" s="36">
        <f t="shared" ref="E2:E11" si="0">LEN(D2)</f>
        <v>124</v>
      </c>
    </row>
    <row r="3" spans="1:5" ht="30" customHeight="1">
      <c r="A3" s="74"/>
      <c r="B3" s="55" t="s">
        <v>0</v>
      </c>
      <c r="C3" s="3" t="s">
        <v>48</v>
      </c>
      <c r="D3" s="1" t="s">
        <v>37</v>
      </c>
      <c r="E3" s="36">
        <f t="shared" si="0"/>
        <v>185</v>
      </c>
    </row>
    <row r="4" spans="1:5" ht="30" customHeight="1">
      <c r="A4" s="74"/>
      <c r="B4" s="55" t="s">
        <v>1</v>
      </c>
      <c r="C4" s="3" t="s">
        <v>50</v>
      </c>
      <c r="D4" s="11" t="s">
        <v>36</v>
      </c>
      <c r="E4" s="36">
        <f t="shared" si="0"/>
        <v>108</v>
      </c>
    </row>
    <row r="5" spans="1:5" ht="30" customHeight="1">
      <c r="A5" s="74"/>
      <c r="B5" s="55" t="s">
        <v>5</v>
      </c>
      <c r="C5" s="3" t="s">
        <v>48</v>
      </c>
      <c r="D5" s="11" t="s">
        <v>44</v>
      </c>
      <c r="E5" s="36">
        <f t="shared" si="0"/>
        <v>146</v>
      </c>
    </row>
    <row r="6" spans="1:5" ht="30" customHeight="1">
      <c r="A6" s="74"/>
      <c r="B6" s="55" t="s">
        <v>4</v>
      </c>
      <c r="C6" s="3" t="s">
        <v>50</v>
      </c>
      <c r="D6" s="11" t="s">
        <v>155</v>
      </c>
      <c r="E6" s="36">
        <f t="shared" si="0"/>
        <v>241</v>
      </c>
    </row>
    <row r="7" spans="1:5" ht="30" customHeight="1">
      <c r="A7" s="74"/>
      <c r="B7" s="55" t="s">
        <v>3</v>
      </c>
      <c r="C7" s="3" t="s">
        <v>50</v>
      </c>
      <c r="D7" s="11" t="s">
        <v>43</v>
      </c>
      <c r="E7" s="36">
        <f t="shared" si="0"/>
        <v>131</v>
      </c>
    </row>
    <row r="8" spans="1:5" ht="30" customHeight="1">
      <c r="A8" s="74"/>
      <c r="B8" s="55" t="s">
        <v>6</v>
      </c>
      <c r="C8" s="35" t="s">
        <v>50</v>
      </c>
      <c r="D8" s="16" t="s">
        <v>157</v>
      </c>
      <c r="E8" s="36">
        <f t="shared" si="0"/>
        <v>229</v>
      </c>
    </row>
    <row r="9" spans="1:5" ht="30" customHeight="1">
      <c r="A9" s="75" t="s">
        <v>156</v>
      </c>
      <c r="B9" s="56" t="s">
        <v>78</v>
      </c>
      <c r="C9" s="3" t="s">
        <v>50</v>
      </c>
      <c r="D9" s="16" t="s">
        <v>77</v>
      </c>
      <c r="E9" s="36">
        <f t="shared" si="0"/>
        <v>167</v>
      </c>
    </row>
    <row r="10" spans="1:5" ht="30" customHeight="1">
      <c r="A10" s="75"/>
      <c r="B10" s="56" t="s">
        <v>7</v>
      </c>
      <c r="C10" s="3" t="s">
        <v>49</v>
      </c>
      <c r="D10" s="11" t="s">
        <v>51</v>
      </c>
      <c r="E10" s="36">
        <f t="shared" si="0"/>
        <v>116</v>
      </c>
    </row>
    <row r="11" spans="1:5" ht="30" customHeight="1">
      <c r="A11" s="75"/>
      <c r="B11" s="56" t="s">
        <v>8</v>
      </c>
      <c r="C11" s="3" t="s">
        <v>49</v>
      </c>
      <c r="D11" s="11" t="s">
        <v>86</v>
      </c>
      <c r="E11" s="36">
        <f t="shared" si="0"/>
        <v>169</v>
      </c>
    </row>
    <row r="13" spans="1:5" ht="16" thickBot="1">
      <c r="C13" s="37"/>
      <c r="D13" s="37"/>
    </row>
    <row r="14" spans="1:5" ht="16">
      <c r="C14" s="38" t="s">
        <v>191</v>
      </c>
      <c r="D14" s="39" t="s">
        <v>192</v>
      </c>
    </row>
    <row r="15" spans="1:5" ht="16">
      <c r="C15" s="38" t="s">
        <v>193</v>
      </c>
      <c r="D15" s="39" t="s">
        <v>196</v>
      </c>
    </row>
    <row r="16" spans="1:5" ht="16">
      <c r="C16" s="38" t="s">
        <v>194</v>
      </c>
      <c r="D16" s="39" t="s">
        <v>195</v>
      </c>
    </row>
  </sheetData>
  <sheetProtection formatColumns="0" formatRows="0" selectLockedCells="1" selectUnlockedCells="1"/>
  <mergeCells count="2">
    <mergeCell ref="A2:A8"/>
    <mergeCell ref="A9:A11"/>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5"/>
  <dimension ref="A1:E6"/>
  <sheetViews>
    <sheetView zoomScaleNormal="100" workbookViewId="0">
      <selection sqref="A1:E1"/>
    </sheetView>
  </sheetViews>
  <sheetFormatPr baseColWidth="10" defaultColWidth="11.5" defaultRowHeight="15"/>
  <cols>
    <col min="1" max="1" width="11.5" style="9" customWidth="1"/>
    <col min="2" max="2" width="18.5" style="8" customWidth="1"/>
    <col min="3" max="3" width="45.5" style="8" customWidth="1"/>
    <col min="4" max="4" width="60.1640625" style="8" customWidth="1"/>
    <col min="5" max="5" width="47.1640625" style="8" customWidth="1"/>
    <col min="6" max="16384" width="11.5" style="8"/>
  </cols>
  <sheetData>
    <row r="1" spans="1:5" ht="17" thickBot="1">
      <c r="A1" s="50" t="s">
        <v>20</v>
      </c>
      <c r="B1" s="51" t="s">
        <v>21</v>
      </c>
      <c r="C1" s="52" t="s">
        <v>26</v>
      </c>
      <c r="D1" s="52" t="s">
        <v>27</v>
      </c>
      <c r="E1" s="52" t="s">
        <v>35</v>
      </c>
    </row>
    <row r="2" spans="1:5" ht="64.25" customHeight="1" thickTop="1">
      <c r="A2" s="34">
        <v>2</v>
      </c>
      <c r="B2" s="8" t="s">
        <v>29</v>
      </c>
      <c r="C2" s="32" t="s">
        <v>143</v>
      </c>
      <c r="D2" s="32" t="s">
        <v>150</v>
      </c>
      <c r="E2" s="32" t="s">
        <v>151</v>
      </c>
    </row>
    <row r="3" spans="1:5" ht="64.25" customHeight="1">
      <c r="A3" s="34">
        <v>1</v>
      </c>
      <c r="B3" s="8" t="s">
        <v>28</v>
      </c>
      <c r="C3" s="32" t="s">
        <v>144</v>
      </c>
      <c r="D3" s="32" t="s">
        <v>147</v>
      </c>
      <c r="E3" s="32" t="s">
        <v>152</v>
      </c>
    </row>
    <row r="4" spans="1:5" ht="64.25" customHeight="1">
      <c r="A4" s="34">
        <v>0</v>
      </c>
      <c r="B4" s="8" t="s">
        <v>23</v>
      </c>
      <c r="C4" s="32" t="s">
        <v>24</v>
      </c>
      <c r="D4" s="32" t="s">
        <v>24</v>
      </c>
      <c r="E4" s="32" t="s">
        <v>24</v>
      </c>
    </row>
    <row r="5" spans="1:5" ht="64.25" customHeight="1">
      <c r="A5" s="34">
        <v>-1</v>
      </c>
      <c r="B5" s="8" t="s">
        <v>25</v>
      </c>
      <c r="C5" s="33" t="s">
        <v>145</v>
      </c>
      <c r="D5" s="32" t="s">
        <v>148</v>
      </c>
      <c r="E5" s="32" t="s">
        <v>153</v>
      </c>
    </row>
    <row r="6" spans="1:5" ht="64.25" customHeight="1">
      <c r="A6" s="34">
        <v>-2</v>
      </c>
      <c r="B6" s="8" t="s">
        <v>22</v>
      </c>
      <c r="C6" s="33" t="s">
        <v>146</v>
      </c>
      <c r="D6" s="32" t="s">
        <v>149</v>
      </c>
      <c r="E6" s="32" t="s">
        <v>154</v>
      </c>
    </row>
  </sheetData>
  <sheetProtection sheet="1" objects="1" scenarios="1" formatColumns="0" formatRows="0" selectLockedCells="1" selectUnlockedCells="1"/>
  <conditionalFormatting sqref="A2:A6">
    <cfRule type="colorScale" priority="1">
      <colorScale>
        <cfvo type="min"/>
        <cfvo type="percentile" val="50"/>
        <cfvo type="max"/>
        <color rgb="FFF8696B"/>
        <color rgb="FFFCFCFF"/>
        <color rgb="FF63BE7B"/>
      </colorScale>
    </cfRule>
  </conditionalFormatting>
  <pageMargins left="0.7" right="0.7" top="0.78740157499999996" bottom="0.78740157499999996"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3"/>
  <dimension ref="A1:C17"/>
  <sheetViews>
    <sheetView zoomScaleNormal="100" workbookViewId="0">
      <selection sqref="A1:C1"/>
    </sheetView>
  </sheetViews>
  <sheetFormatPr baseColWidth="10" defaultRowHeight="15"/>
  <cols>
    <col min="1" max="1" width="5.33203125" style="6" customWidth="1"/>
    <col min="2" max="2" width="6.1640625" customWidth="1"/>
    <col min="3" max="3" width="88.83203125" customWidth="1"/>
  </cols>
  <sheetData>
    <row r="1" spans="1:3" ht="17" thickBot="1">
      <c r="A1" s="50" t="s">
        <v>189</v>
      </c>
      <c r="B1" s="50" t="s">
        <v>30</v>
      </c>
      <c r="C1" s="50" t="s">
        <v>190</v>
      </c>
    </row>
    <row r="2" spans="1:3" ht="16" thickTop="1">
      <c r="A2" s="6">
        <v>1</v>
      </c>
      <c r="B2" s="4"/>
      <c r="C2" s="5" t="s">
        <v>62</v>
      </c>
    </row>
    <row r="3" spans="1:3">
      <c r="A3" s="7"/>
      <c r="B3" t="str">
        <f>"S-"&amp;$A$2&amp;"."&amp;ROW()-MATCH($A$2,$A:$A,)</f>
        <v>S-1.1</v>
      </c>
      <c r="C3" t="s">
        <v>55</v>
      </c>
    </row>
    <row r="4" spans="1:3">
      <c r="A4" s="7"/>
      <c r="B4" t="str">
        <f>"S-"&amp;$A$2&amp;"."&amp;ROW()-MATCH($A$2,$A:$A,)</f>
        <v>S-1.2</v>
      </c>
      <c r="C4" t="s">
        <v>56</v>
      </c>
    </row>
    <row r="5" spans="1:3">
      <c r="A5" s="6">
        <v>2</v>
      </c>
      <c r="B5" s="4"/>
      <c r="C5" s="5" t="s">
        <v>58</v>
      </c>
    </row>
    <row r="6" spans="1:3">
      <c r="A6" s="7"/>
      <c r="B6" t="str">
        <f>"S-"&amp;$A$5&amp;"."&amp;ROW()-MATCH($A$5,$A:$A,)</f>
        <v>S-2.1</v>
      </c>
      <c r="C6" t="s">
        <v>59</v>
      </c>
    </row>
    <row r="7" spans="1:3">
      <c r="A7" s="7"/>
      <c r="B7" t="str">
        <f>"S-"&amp;$A$5&amp;"."&amp;ROW()-MATCH($A$5,$A:$A,)</f>
        <v>S-2.2</v>
      </c>
      <c r="C7" t="s">
        <v>60</v>
      </c>
    </row>
    <row r="8" spans="1:3">
      <c r="A8" s="6">
        <v>3</v>
      </c>
      <c r="B8" s="4"/>
      <c r="C8" s="5" t="s">
        <v>61</v>
      </c>
    </row>
    <row r="9" spans="1:3">
      <c r="A9" s="7">
        <f>A8</f>
        <v>3</v>
      </c>
      <c r="B9" t="str">
        <f>"S-"&amp;$A$8&amp;"."&amp;ROW()-MATCH($A$8,$A:$A,)</f>
        <v>S-3.1</v>
      </c>
      <c r="C9" t="s">
        <v>63</v>
      </c>
    </row>
    <row r="10" spans="1:3">
      <c r="A10" s="7">
        <f>A9</f>
        <v>3</v>
      </c>
      <c r="B10" t="str">
        <f>"S-"&amp;$A$8&amp;"."&amp;ROW()-MATCH($A$8,$A:$A,)</f>
        <v>S-3.2</v>
      </c>
      <c r="C10" t="s">
        <v>64</v>
      </c>
    </row>
    <row r="11" spans="1:3">
      <c r="A11" s="6">
        <v>4</v>
      </c>
      <c r="B11" s="4"/>
      <c r="C11" s="5" t="s">
        <v>92</v>
      </c>
    </row>
    <row r="12" spans="1:3">
      <c r="B12" t="str">
        <f>"S-"&amp;$A$11&amp;"."&amp;ROW()-MATCH($A$11,$A:$A,)</f>
        <v>S-4.1</v>
      </c>
      <c r="C12" t="s">
        <v>96</v>
      </c>
    </row>
    <row r="13" spans="1:3">
      <c r="B13" t="str">
        <f>"S-"&amp;$A$11&amp;"."&amp;ROW()-MATCH($A$11,$A:$A,)</f>
        <v>S-4.2</v>
      </c>
      <c r="C13" t="s">
        <v>98</v>
      </c>
    </row>
    <row r="14" spans="1:3">
      <c r="B14" t="str">
        <f>"S-"&amp;$A$11&amp;"."&amp;ROW()-MATCH($A$11,$A:$A,)</f>
        <v>S-4.3</v>
      </c>
      <c r="C14" s="28" t="s">
        <v>97</v>
      </c>
    </row>
    <row r="15" spans="1:3">
      <c r="A15" s="6">
        <v>5</v>
      </c>
      <c r="C15" s="5" t="s">
        <v>93</v>
      </c>
    </row>
    <row r="16" spans="1:3">
      <c r="B16" t="str">
        <f>"S-"&amp;$A$15&amp;"."&amp;ROW()-MATCH($A$15,$A:$A,)</f>
        <v>S-5.1</v>
      </c>
      <c r="C16" t="s">
        <v>94</v>
      </c>
    </row>
    <row r="17" spans="2:3">
      <c r="B17" t="str">
        <f>"S-"&amp;$A$15&amp;"."&amp;ROW()-MATCH($A$15,$A:$A,)</f>
        <v>S-5.2</v>
      </c>
      <c r="C17" t="s">
        <v>95</v>
      </c>
    </row>
  </sheetData>
  <sheetProtection sheet="1" objects="1" scenarios="1" formatColumns="0" formatRows="0" selectLockedCells="1" selectUnlockedCells="1"/>
  <pageMargins left="0.7" right="0.7" top="0.78740157499999996" bottom="0.78740157499999996"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0"/>
  <dimension ref="A1:E8"/>
  <sheetViews>
    <sheetView workbookViewId="0">
      <selection activeCell="D10" sqref="D10"/>
    </sheetView>
  </sheetViews>
  <sheetFormatPr baseColWidth="10" defaultColWidth="11.5" defaultRowHeight="15"/>
  <cols>
    <col min="1" max="1" width="21.1640625" style="1" customWidth="1"/>
    <col min="2" max="2" width="16.1640625" style="1" customWidth="1"/>
    <col min="3" max="3" width="17.5" style="1" customWidth="1"/>
    <col min="4" max="4" width="87.83203125" style="1" customWidth="1"/>
    <col min="5" max="16384" width="11.5" style="1"/>
  </cols>
  <sheetData>
    <row r="1" spans="1:5" ht="17" thickBot="1">
      <c r="A1" s="50" t="s">
        <v>207</v>
      </c>
      <c r="B1" s="11"/>
      <c r="C1" s="50" t="s">
        <v>222</v>
      </c>
      <c r="D1" s="50" t="s">
        <v>190</v>
      </c>
    </row>
    <row r="2" spans="1:5" ht="49" thickTop="1">
      <c r="A2" s="30" t="s">
        <v>203</v>
      </c>
      <c r="C2" s="30" t="s">
        <v>212</v>
      </c>
      <c r="D2" s="1" t="s">
        <v>219</v>
      </c>
      <c r="E2" s="36"/>
    </row>
    <row r="3" spans="1:5" ht="32">
      <c r="A3" s="30" t="s">
        <v>204</v>
      </c>
      <c r="C3" s="30" t="s">
        <v>210</v>
      </c>
      <c r="D3" s="1" t="s">
        <v>217</v>
      </c>
      <c r="E3" s="36"/>
    </row>
    <row r="4" spans="1:5" ht="16">
      <c r="A4" s="30" t="s">
        <v>205</v>
      </c>
      <c r="C4" s="30" t="s">
        <v>231</v>
      </c>
      <c r="D4" s="1" t="s">
        <v>232</v>
      </c>
      <c r="E4" s="36"/>
    </row>
    <row r="5" spans="1:5" ht="32">
      <c r="A5" s="30" t="s">
        <v>206</v>
      </c>
      <c r="C5" s="30" t="s">
        <v>209</v>
      </c>
      <c r="D5" s="1" t="s">
        <v>216</v>
      </c>
      <c r="E5" s="36"/>
    </row>
    <row r="6" spans="1:5" ht="32">
      <c r="A6" s="30" t="s">
        <v>227</v>
      </c>
      <c r="C6" s="30" t="s">
        <v>214</v>
      </c>
      <c r="D6" s="1" t="s">
        <v>221</v>
      </c>
      <c r="E6" s="36"/>
    </row>
    <row r="7" spans="1:5" ht="32">
      <c r="C7" s="30" t="s">
        <v>213</v>
      </c>
      <c r="D7" s="1" t="s">
        <v>220</v>
      </c>
      <c r="E7" s="36"/>
    </row>
    <row r="8" spans="1:5" ht="32">
      <c r="C8" s="30" t="s">
        <v>211</v>
      </c>
      <c r="D8" s="1" t="s">
        <v>218</v>
      </c>
    </row>
  </sheetData>
  <sortState xmlns:xlrd2="http://schemas.microsoft.com/office/spreadsheetml/2017/richdata2" ref="C2:D8">
    <sortCondition ref="C2:C8"/>
  </sortState>
  <pageMargins left="0.7" right="0.7" top="0.78740157499999996" bottom="0.78740157499999996" header="0.3" footer="0.3"/>
  <pageSetup paperSize="9"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4">
    <tabColor theme="0" tint="-0.499984740745262"/>
  </sheetPr>
  <dimension ref="A1:H13"/>
  <sheetViews>
    <sheetView zoomScaleNormal="100" workbookViewId="0">
      <selection activeCell="I27" sqref="I27"/>
    </sheetView>
  </sheetViews>
  <sheetFormatPr baseColWidth="10" defaultColWidth="11.5" defaultRowHeight="15"/>
  <cols>
    <col min="1" max="1" width="6.5" style="1" customWidth="1"/>
    <col min="2" max="2" width="17.1640625" style="1" customWidth="1"/>
    <col min="3" max="3" width="10.6640625" style="1" customWidth="1"/>
    <col min="4" max="5" width="11.5" style="10"/>
    <col min="6" max="6" width="8.5" style="10" customWidth="1"/>
    <col min="7" max="7" width="66.83203125" style="1" customWidth="1"/>
    <col min="8" max="16384" width="11.5" style="1"/>
  </cols>
  <sheetData>
    <row r="1" spans="1:8" ht="18" customHeight="1">
      <c r="A1" s="76" t="s">
        <v>13</v>
      </c>
      <c r="B1" s="76"/>
      <c r="C1" s="40"/>
      <c r="D1" s="77" t="s">
        <v>140</v>
      </c>
      <c r="E1" s="78"/>
      <c r="F1" s="78"/>
      <c r="G1" s="78"/>
      <c r="H1" s="78"/>
    </row>
    <row r="2" spans="1:8" ht="17" thickBot="1">
      <c r="A2" s="12" t="s">
        <v>45</v>
      </c>
      <c r="B2" s="12" t="s">
        <v>46</v>
      </c>
      <c r="D2" s="31" t="s">
        <v>126</v>
      </c>
      <c r="E2" s="31" t="s">
        <v>125</v>
      </c>
      <c r="F2" s="31" t="s">
        <v>129</v>
      </c>
      <c r="G2" s="30" t="s">
        <v>127</v>
      </c>
    </row>
    <row r="3" spans="1:8" ht="17" thickTop="1">
      <c r="A3" s="1" t="s">
        <v>12</v>
      </c>
      <c r="B3" s="1" t="s">
        <v>11</v>
      </c>
      <c r="D3" s="10">
        <v>-2</v>
      </c>
      <c r="E3" s="10">
        <v>-2</v>
      </c>
      <c r="F3" s="10">
        <f>QUOTIENT(D3,2)+D3+E3+6</f>
        <v>1</v>
      </c>
      <c r="G3" s="1" t="s">
        <v>134</v>
      </c>
    </row>
    <row r="4" spans="1:8" ht="103.75" customHeight="1">
      <c r="A4" s="1" t="s">
        <v>14</v>
      </c>
      <c r="B4" s="1" t="s">
        <v>15</v>
      </c>
      <c r="D4" s="10">
        <v>-2</v>
      </c>
      <c r="E4" s="10">
        <v>-1</v>
      </c>
      <c r="F4" s="10">
        <f t="shared" ref="F4:F13" si="0">QUOTIENT(D4,2)+D4+E4+6</f>
        <v>2</v>
      </c>
      <c r="G4" s="1" t="s">
        <v>131</v>
      </c>
    </row>
    <row r="5" spans="1:8" ht="16">
      <c r="A5" s="1" t="s">
        <v>16</v>
      </c>
      <c r="B5" s="1" t="s">
        <v>17</v>
      </c>
      <c r="D5" s="10">
        <v>-2</v>
      </c>
      <c r="E5" s="10">
        <v>0</v>
      </c>
      <c r="F5" s="10">
        <f t="shared" si="0"/>
        <v>3</v>
      </c>
      <c r="G5" s="1" t="s">
        <v>133</v>
      </c>
    </row>
    <row r="6" spans="1:8" ht="16">
      <c r="A6" s="1" t="s">
        <v>18</v>
      </c>
      <c r="B6" s="1" t="s">
        <v>19</v>
      </c>
      <c r="D6" s="10">
        <v>-1</v>
      </c>
      <c r="E6" s="10">
        <v>-1</v>
      </c>
      <c r="F6" s="10">
        <f t="shared" si="0"/>
        <v>4</v>
      </c>
      <c r="G6" s="1" t="s">
        <v>135</v>
      </c>
    </row>
    <row r="7" spans="1:8" ht="16">
      <c r="A7" s="1" t="s">
        <v>117</v>
      </c>
      <c r="B7" s="1" t="s">
        <v>116</v>
      </c>
      <c r="D7" s="10">
        <v>-1</v>
      </c>
      <c r="E7" s="10">
        <v>0</v>
      </c>
      <c r="F7" s="10">
        <f t="shared" si="0"/>
        <v>5</v>
      </c>
      <c r="G7" s="1" t="s">
        <v>132</v>
      </c>
    </row>
    <row r="8" spans="1:8" ht="25.25" customHeight="1">
      <c r="D8" s="10">
        <v>0</v>
      </c>
      <c r="E8" s="10">
        <v>0</v>
      </c>
      <c r="F8" s="10">
        <f t="shared" si="0"/>
        <v>6</v>
      </c>
      <c r="G8" s="1" t="s">
        <v>139</v>
      </c>
    </row>
    <row r="9" spans="1:8" ht="32">
      <c r="D9" s="10">
        <v>1</v>
      </c>
      <c r="E9" s="10">
        <v>0</v>
      </c>
      <c r="F9" s="10">
        <f t="shared" si="0"/>
        <v>7</v>
      </c>
      <c r="G9" s="1" t="s">
        <v>136</v>
      </c>
    </row>
    <row r="10" spans="1:8" ht="16">
      <c r="D10" s="10">
        <v>1</v>
      </c>
      <c r="E10" s="10">
        <v>1</v>
      </c>
      <c r="F10" s="10">
        <f t="shared" si="0"/>
        <v>8</v>
      </c>
      <c r="G10" s="1" t="s">
        <v>130</v>
      </c>
    </row>
    <row r="11" spans="1:8" ht="16">
      <c r="D11" s="10">
        <v>2</v>
      </c>
      <c r="E11" s="10">
        <v>0</v>
      </c>
      <c r="F11" s="10">
        <f t="shared" si="0"/>
        <v>9</v>
      </c>
      <c r="G11" s="1" t="s">
        <v>128</v>
      </c>
    </row>
    <row r="12" spans="1:8" ht="16">
      <c r="D12" s="10">
        <v>2</v>
      </c>
      <c r="E12" s="10">
        <v>1</v>
      </c>
      <c r="F12" s="10">
        <f t="shared" si="0"/>
        <v>10</v>
      </c>
      <c r="G12" s="1" t="s">
        <v>137</v>
      </c>
    </row>
    <row r="13" spans="1:8" ht="16">
      <c r="D13" s="10">
        <v>2</v>
      </c>
      <c r="E13" s="10">
        <v>2</v>
      </c>
      <c r="F13" s="10">
        <f t="shared" si="0"/>
        <v>11</v>
      </c>
      <c r="G13" s="1" t="s">
        <v>138</v>
      </c>
    </row>
  </sheetData>
  <sheetProtection algorithmName="SHA-512" hashValue="OFjk5+vi4YdjszTG9WIqkZGO5SNWVEU/r/GvebJXgNh+rbJn3DrtRACx9CkzU9uuB03WDsRxhFaqglfu4sKjYw==" saltValue="XEaDZjOv+MGL3IiyWz1XpA==" spinCount="100000" sheet="1" objects="1" scenarios="1" selectLockedCells="1" selectUnlockedCells="1"/>
  <mergeCells count="2">
    <mergeCell ref="A1:B1"/>
    <mergeCell ref="D1:H1"/>
  </mergeCells>
  <pageMargins left="0.7" right="0.7" top="0.78740157499999996" bottom="0.78740157499999996"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0" tint="-0.499984740745262"/>
  </sheetPr>
  <dimension ref="A1:AQ13"/>
  <sheetViews>
    <sheetView workbookViewId="0">
      <selection activeCell="K28" sqref="K28"/>
    </sheetView>
  </sheetViews>
  <sheetFormatPr baseColWidth="10" defaultRowHeight="15"/>
  <sheetData>
    <row r="1" spans="1:43">
      <c r="A1">
        <v>-1</v>
      </c>
      <c r="B1">
        <v>0</v>
      </c>
    </row>
    <row r="2" spans="1:43">
      <c r="A2">
        <v>-2</v>
      </c>
      <c r="B2">
        <v>0</v>
      </c>
    </row>
    <row r="3" spans="1:43">
      <c r="A3">
        <v>0</v>
      </c>
      <c r="B3">
        <v>1</v>
      </c>
    </row>
    <row r="4" spans="1:43">
      <c r="C4">
        <v>0</v>
      </c>
      <c r="D4">
        <v>2</v>
      </c>
      <c r="F4">
        <v>2</v>
      </c>
    </row>
    <row r="5" spans="1:43">
      <c r="C5">
        <v>-1</v>
      </c>
    </row>
    <row r="6" spans="1:43">
      <c r="C6">
        <v>-1</v>
      </c>
    </row>
    <row r="7" spans="1:43">
      <c r="E7">
        <v>-1</v>
      </c>
    </row>
    <row r="8" spans="1:43">
      <c r="G8">
        <v>0</v>
      </c>
      <c r="AJ8">
        <v>0</v>
      </c>
      <c r="AQ8">
        <v>0</v>
      </c>
    </row>
    <row r="9" spans="1:43">
      <c r="H9">
        <v>0</v>
      </c>
      <c r="AJ9">
        <v>0</v>
      </c>
      <c r="AL9">
        <v>-1</v>
      </c>
    </row>
    <row r="10" spans="1:43">
      <c r="I10">
        <v>0</v>
      </c>
      <c r="AK10">
        <v>0</v>
      </c>
    </row>
    <row r="11" spans="1:43">
      <c r="AH11">
        <v>1</v>
      </c>
      <c r="AI11">
        <v>1</v>
      </c>
    </row>
    <row r="12" spans="1:43">
      <c r="AO12">
        <v>0</v>
      </c>
    </row>
    <row r="13" spans="1:43">
      <c r="AP13">
        <v>-1</v>
      </c>
    </row>
  </sheetData>
  <sheetProtection selectLockedCells="1" selectUnlockedCell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11</vt:i4>
      </vt:variant>
      <vt:variant>
        <vt:lpstr>Benannte Bereiche</vt:lpstr>
      </vt:variant>
      <vt:variant>
        <vt:i4>17</vt:i4>
      </vt:variant>
    </vt:vector>
  </HeadingPairs>
  <TitlesOfParts>
    <vt:vector size="28" baseType="lpstr">
      <vt:lpstr>Stakeholders</vt:lpstr>
      <vt:lpstr>Goals &amp; Risks</vt:lpstr>
      <vt:lpstr>Requirements</vt:lpstr>
      <vt:lpstr>Epics</vt:lpstr>
      <vt:lpstr>Who does what</vt:lpstr>
      <vt:lpstr>_Dimensions</vt:lpstr>
      <vt:lpstr>_Effects</vt:lpstr>
      <vt:lpstr>_Scenarios</vt:lpstr>
      <vt:lpstr>_Domains</vt:lpstr>
      <vt:lpstr>_Param</vt:lpstr>
      <vt:lpstr>_GRREQ</vt:lpstr>
      <vt:lpstr>Abbreviations</vt:lpstr>
      <vt:lpstr>CompTypes</vt:lpstr>
      <vt:lpstr>CompTypes_and_Explanation</vt:lpstr>
      <vt:lpstr>Dimensions</vt:lpstr>
      <vt:lpstr>Dims_And_Explanation</vt:lpstr>
      <vt:lpstr>Domains</vt:lpstr>
      <vt:lpstr>GR_Affected_Stakeholders</vt:lpstr>
      <vt:lpstr>GR_All</vt:lpstr>
      <vt:lpstr>GR_Degrees</vt:lpstr>
      <vt:lpstr>GR_Dims_System_might_affect</vt:lpstr>
      <vt:lpstr>GR_IDs</vt:lpstr>
      <vt:lpstr>Realization_Explanation</vt:lpstr>
      <vt:lpstr>Req_IDs</vt:lpstr>
      <vt:lpstr>Reqs_and_Explanation</vt:lpstr>
      <vt:lpstr>Scenarios</vt:lpstr>
      <vt:lpstr>Scens_And_Explanation</vt:lpstr>
      <vt:lpstr>Stakeholders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2020-01-16T12:55:48Z</dcterms:modified>
</cp:coreProperties>
</file>